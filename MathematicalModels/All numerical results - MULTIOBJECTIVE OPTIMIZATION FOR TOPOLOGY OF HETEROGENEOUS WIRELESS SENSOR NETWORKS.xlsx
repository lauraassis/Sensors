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79786493-DE32-45EF-97A2-1472B378A9BA}" xr6:coauthVersionLast="47" xr6:coauthVersionMax="47" xr10:uidLastSave="{00000000-0000-0000-0000-000000000000}"/>
  <bookViews>
    <workbookView xWindow="-120" yWindow="-120" windowWidth="20730" windowHeight="11040" xr2:uid="{A4D63F77-75DC-41ED-9BB4-783F2F15D146}"/>
  </bookViews>
  <sheets>
    <sheet name="L=10" sheetId="7" r:id="rId1"/>
    <sheet name="L=15" sheetId="8" r:id="rId2"/>
    <sheet name="L=20" sheetId="9" r:id="rId3"/>
    <sheet name="Overall Total Time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9" l="1"/>
  <c r="E61" i="9" s="1"/>
  <c r="F61" i="9" s="1"/>
  <c r="G61" i="9" s="1"/>
  <c r="H61" i="9" s="1"/>
  <c r="I61" i="9" s="1"/>
  <c r="J61" i="9" s="1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D47" i="9"/>
  <c r="E47" i="9" s="1"/>
  <c r="F47" i="9" s="1"/>
  <c r="G47" i="9" s="1"/>
  <c r="H47" i="9" s="1"/>
  <c r="I47" i="9" s="1"/>
  <c r="J47" i="9" s="1"/>
  <c r="K47" i="9" s="1"/>
  <c r="L47" i="9" s="1"/>
  <c r="M47" i="9" s="1"/>
  <c r="N47" i="9" s="1"/>
  <c r="O47" i="9" s="1"/>
  <c r="P47" i="9" s="1"/>
  <c r="Q47" i="9" s="1"/>
  <c r="R47" i="9" s="1"/>
  <c r="S47" i="9" s="1"/>
  <c r="T47" i="9" s="1"/>
  <c r="U47" i="9" s="1"/>
  <c r="V47" i="9" s="1"/>
  <c r="D33" i="9"/>
  <c r="E33" i="9" s="1"/>
  <c r="F33" i="9" s="1"/>
  <c r="G33" i="9" s="1"/>
  <c r="H33" i="9" s="1"/>
  <c r="I33" i="9" s="1"/>
  <c r="J33" i="9" s="1"/>
  <c r="K33" i="9" s="1"/>
  <c r="L33" i="9" s="1"/>
  <c r="M33" i="9" s="1"/>
  <c r="N33" i="9" s="1"/>
  <c r="O33" i="9" s="1"/>
  <c r="P33" i="9" s="1"/>
  <c r="Q33" i="9" s="1"/>
  <c r="R33" i="9" s="1"/>
  <c r="S33" i="9" s="1"/>
  <c r="T33" i="9" s="1"/>
  <c r="U33" i="9" s="1"/>
  <c r="V33" i="9" s="1"/>
  <c r="D19" i="9"/>
  <c r="E19" i="9" s="1"/>
  <c r="F19" i="9" s="1"/>
  <c r="G19" i="9" s="1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D5" i="9"/>
  <c r="E5" i="9" s="1"/>
  <c r="F5" i="9" s="1"/>
  <c r="G5" i="9" s="1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X71" i="9"/>
  <c r="Y71" i="9" s="1"/>
  <c r="Z71" i="9" s="1"/>
  <c r="AA71" i="9" s="1"/>
  <c r="X70" i="9"/>
  <c r="Y70" i="9" s="1"/>
  <c r="Z70" i="9" s="1"/>
  <c r="AA70" i="9" s="1"/>
  <c r="X57" i="9"/>
  <c r="Y57" i="9" s="1"/>
  <c r="Z57" i="9" s="1"/>
  <c r="AA57" i="9" s="1"/>
  <c r="X56" i="9"/>
  <c r="Y56" i="9" s="1"/>
  <c r="Z56" i="9" s="1"/>
  <c r="AA56" i="9" s="1"/>
  <c r="X43" i="9"/>
  <c r="Y43" i="9" s="1"/>
  <c r="Z43" i="9" s="1"/>
  <c r="AA43" i="9" s="1"/>
  <c r="X42" i="9"/>
  <c r="Y42" i="9" s="1"/>
  <c r="Z42" i="9" s="1"/>
  <c r="AA42" i="9" s="1"/>
  <c r="X29" i="9"/>
  <c r="Y29" i="9" s="1"/>
  <c r="Z29" i="9" s="1"/>
  <c r="AA29" i="9" s="1"/>
  <c r="X28" i="9"/>
  <c r="Y28" i="9" s="1"/>
  <c r="Z28" i="9" s="1"/>
  <c r="AA28" i="9" s="1"/>
  <c r="X15" i="9"/>
  <c r="Y15" i="9" s="1"/>
  <c r="Z15" i="9" s="1"/>
  <c r="AA15" i="9" s="1"/>
  <c r="X14" i="9"/>
  <c r="Y14" i="9" s="1"/>
  <c r="Z14" i="9" s="1"/>
  <c r="AA14" i="9" s="1"/>
  <c r="T29" i="8"/>
  <c r="U29" i="8" s="1"/>
  <c r="N71" i="7"/>
  <c r="O71" i="7" s="1"/>
  <c r="P71" i="7" s="1"/>
  <c r="N70" i="7"/>
  <c r="O70" i="7" s="1"/>
  <c r="P70" i="7" s="1"/>
  <c r="N57" i="7"/>
  <c r="O57" i="7" s="1"/>
  <c r="P57" i="7" s="1"/>
  <c r="N56" i="7"/>
  <c r="O56" i="7" s="1"/>
  <c r="P56" i="7" s="1"/>
  <c r="N43" i="7"/>
  <c r="O43" i="7" s="1"/>
  <c r="P43" i="7" s="1"/>
  <c r="N42" i="7"/>
  <c r="O42" i="7" s="1"/>
  <c r="P42" i="7" s="1"/>
  <c r="N29" i="7"/>
  <c r="O29" i="7" s="1"/>
  <c r="P29" i="7" s="1"/>
  <c r="N28" i="7"/>
  <c r="O28" i="7" s="1"/>
  <c r="P28" i="7" s="1"/>
  <c r="N15" i="7"/>
  <c r="O15" i="7" s="1"/>
  <c r="P15" i="7" s="1"/>
  <c r="N14" i="7"/>
  <c r="O14" i="7" s="1"/>
  <c r="P14" i="7" s="1"/>
  <c r="S71" i="8"/>
  <c r="T71" i="8" s="1"/>
  <c r="U71" i="8" s="1"/>
  <c r="S70" i="8"/>
  <c r="T70" i="8" s="1"/>
  <c r="U70" i="8" s="1"/>
  <c r="S57" i="8"/>
  <c r="T57" i="8" s="1"/>
  <c r="U57" i="8" s="1"/>
  <c r="S56" i="8"/>
  <c r="T56" i="8" s="1"/>
  <c r="U56" i="8" s="1"/>
  <c r="S43" i="8"/>
  <c r="T43" i="8" s="1"/>
  <c r="U43" i="8" s="1"/>
  <c r="S42" i="8"/>
  <c r="T42" i="8" s="1"/>
  <c r="U42" i="8" s="1"/>
  <c r="S28" i="8"/>
  <c r="T28" i="8" s="1"/>
  <c r="U28" i="8" s="1"/>
  <c r="S29" i="8"/>
  <c r="S15" i="8"/>
  <c r="T15" i="8" s="1"/>
  <c r="U15" i="8" s="1"/>
  <c r="S14" i="8"/>
  <c r="T14" i="8" s="1"/>
  <c r="U14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D19" i="8"/>
  <c r="E19" i="8" s="1"/>
  <c r="F19" i="8" s="1"/>
  <c r="G19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D61" i="7"/>
  <c r="E61" i="7" s="1"/>
  <c r="F61" i="7" s="1"/>
  <c r="G61" i="7" s="1"/>
  <c r="H61" i="7" s="1"/>
  <c r="I61" i="7" s="1"/>
  <c r="J61" i="7" s="1"/>
  <c r="K61" i="7" s="1"/>
  <c r="L61" i="7" s="1"/>
  <c r="D47" i="7"/>
  <c r="E47" i="7" s="1"/>
  <c r="F47" i="7" s="1"/>
  <c r="G47" i="7" s="1"/>
  <c r="H47" i="7" s="1"/>
  <c r="I47" i="7" s="1"/>
  <c r="J47" i="7" s="1"/>
  <c r="K47" i="7" s="1"/>
  <c r="L47" i="7" s="1"/>
  <c r="D33" i="7"/>
  <c r="E33" i="7" s="1"/>
  <c r="F33" i="7" s="1"/>
  <c r="G33" i="7" s="1"/>
  <c r="H33" i="7" s="1"/>
  <c r="I33" i="7" s="1"/>
  <c r="J33" i="7" s="1"/>
  <c r="K33" i="7" s="1"/>
  <c r="L33" i="7" s="1"/>
  <c r="D19" i="7"/>
  <c r="E19" i="7" s="1"/>
  <c r="F19" i="7" s="1"/>
  <c r="G19" i="7" s="1"/>
  <c r="H19" i="7" s="1"/>
  <c r="I19" i="7" s="1"/>
  <c r="J19" i="7" s="1"/>
  <c r="K19" i="7" s="1"/>
  <c r="L19" i="7" s="1"/>
  <c r="D5" i="7"/>
  <c r="E5" i="7" s="1"/>
  <c r="F5" i="7" s="1"/>
  <c r="G5" i="7" s="1"/>
  <c r="H5" i="7" s="1"/>
  <c r="I5" i="7" s="1"/>
  <c r="J5" i="7" s="1"/>
  <c r="K5" i="7" s="1"/>
  <c r="L5" i="7" s="1"/>
  <c r="N82" i="7" l="1"/>
  <c r="X82" i="9"/>
  <c r="Y82" i="9" s="1"/>
  <c r="Z82" i="9" s="1"/>
  <c r="AA82" i="9" s="1"/>
  <c r="S82" i="8"/>
  <c r="T82" i="8" s="1"/>
  <c r="U82" i="8" s="1"/>
  <c r="V82" i="8" s="1"/>
  <c r="O82" i="7"/>
  <c r="P82" i="7" s="1"/>
  <c r="H19" i="8"/>
  <c r="I19" i="8" s="1"/>
  <c r="J19" i="8" s="1"/>
  <c r="K19" i="8" s="1"/>
  <c r="L19" i="8" s="1"/>
  <c r="M19" i="8" s="1"/>
  <c r="N19" i="8" s="1"/>
  <c r="O19" i="8" s="1"/>
  <c r="P19" i="8" s="1"/>
  <c r="Q19" i="8" s="1"/>
  <c r="A3" i="10" l="1"/>
  <c r="B3" i="10" s="1"/>
  <c r="C3" i="10" s="1"/>
  <c r="D3" i="10" s="1"/>
</calcChain>
</file>

<file path=xl/sharedStrings.xml><?xml version="1.0" encoding="utf-8"?>
<sst xmlns="http://schemas.openxmlformats.org/spreadsheetml/2006/main" count="287" uniqueCount="26">
  <si>
    <t>-</t>
  </si>
  <si>
    <t>Tempo Total (dias)</t>
  </si>
  <si>
    <t>Density (D)</t>
  </si>
  <si>
    <t>Candidate allocation positions</t>
  </si>
  <si>
    <t>Allocated nodes (S2C)</t>
  </si>
  <si>
    <t>Allocated nodes (S2CPro)</t>
  </si>
  <si>
    <t>Epsilon</t>
  </si>
  <si>
    <t>Objective C</t>
  </si>
  <si>
    <t>Objective I</t>
  </si>
  <si>
    <t>Gap (%)</t>
  </si>
  <si>
    <t>Total constraints</t>
  </si>
  <si>
    <t>Continuous Variables</t>
  </si>
  <si>
    <t>Integer variables</t>
  </si>
  <si>
    <t>Binary variables</t>
  </si>
  <si>
    <t>Total variables</t>
  </si>
  <si>
    <t>Solver time (s)</t>
  </si>
  <si>
    <t>Total time (s)</t>
  </si>
  <si>
    <t>Total Time (s)</t>
  </si>
  <si>
    <t>Total Time (min)</t>
  </si>
  <si>
    <t>Total Time (h)</t>
  </si>
  <si>
    <t>Overall Total Time (all instances and densities)</t>
  </si>
  <si>
    <t>Seconds</t>
  </si>
  <si>
    <t>Minutes</t>
  </si>
  <si>
    <t>Hours</t>
  </si>
  <si>
    <t>Days</t>
  </si>
  <si>
    <t>Overall Total Time (all experiments)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</si>
</sst>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9" fontId="0" fillId="0" borderId="0" xfId="1" applyFont="1" applyBorder="1"/>
    <xf numFmtId="0" fontId="0" fillId="0" borderId="1" xfId="1" applyNumberFormat="1" applyFont="1" applyBorder="1"/>
    <xf numFmtId="9" fontId="0" fillId="0" borderId="0" xfId="0" applyNumberFormat="1"/>
    <xf numFmtId="0" fontId="3" fillId="0" borderId="1" xfId="0" applyFont="1" applyBorder="1"/>
    <xf numFmtId="0" fontId="3" fillId="0" borderId="1" xfId="1" applyNumberFormat="1" applyFont="1" applyBorder="1"/>
    <xf numFmtId="0" fontId="4" fillId="0" borderId="1" xfId="0" applyFont="1" applyBorder="1"/>
    <xf numFmtId="0" fontId="4" fillId="0" borderId="1" xfId="1" applyNumberFormat="1" applyFont="1" applyBorder="1"/>
    <xf numFmtId="0" fontId="5" fillId="0" borderId="1" xfId="1" applyNumberFormat="1" applyFont="1" applyBorder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0" fillId="0" borderId="5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5010-16E8-4A2D-9C51-199B1FE97823}">
  <dimension ref="A1:AD116"/>
  <sheetViews>
    <sheetView tabSelected="1" zoomScale="70" zoomScaleNormal="70" workbookViewId="0">
      <pane ySplit="1" topLeftCell="A2" activePane="bottomLeft" state="frozen"/>
      <selection pane="bottomLeft" activeCell="B77" sqref="B77"/>
    </sheetView>
  </sheetViews>
  <sheetFormatPr defaultRowHeight="15" x14ac:dyDescent="0.25"/>
  <cols>
    <col min="1" max="1" width="23.28515625" bestFit="1" customWidth="1"/>
    <col min="2" max="2" width="30.140625" bestFit="1" customWidth="1"/>
    <col min="3" max="3" width="8.7109375" bestFit="1" customWidth="1"/>
    <col min="4" max="4" width="11.140625" customWidth="1"/>
    <col min="5" max="8" width="8.7109375" bestFit="1" customWidth="1"/>
    <col min="9" max="11" width="10" bestFit="1" customWidth="1"/>
    <col min="12" max="12" width="8.7109375" bestFit="1" customWidth="1"/>
    <col min="14" max="14" width="15.7109375" bestFit="1" customWidth="1"/>
    <col min="15" max="15" width="18.140625" bestFit="1" customWidth="1"/>
    <col min="16" max="16" width="15.85546875" bestFit="1" customWidth="1"/>
    <col min="18" max="18" width="16.85546875" bestFit="1" customWidth="1"/>
    <col min="20" max="20" width="12" customWidth="1"/>
    <col min="24" max="24" width="16.85546875" bestFit="1" customWidth="1"/>
    <col min="27" max="27" width="15.140625" bestFit="1" customWidth="1"/>
  </cols>
  <sheetData>
    <row r="1" spans="1:30" x14ac:dyDescent="0.25">
      <c r="A1" s="34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30" x14ac:dyDescent="0.25">
      <c r="A2" s="26">
        <v>0.1</v>
      </c>
      <c r="B2" s="2" t="s">
        <v>3</v>
      </c>
      <c r="C2" s="15">
        <v>10</v>
      </c>
      <c r="D2" s="16"/>
      <c r="E2" s="16"/>
      <c r="F2" s="16"/>
      <c r="G2" s="16"/>
      <c r="H2" s="16"/>
      <c r="I2" s="16"/>
      <c r="J2" s="16"/>
      <c r="K2" s="16"/>
      <c r="L2" s="17"/>
    </row>
    <row r="3" spans="1:30" x14ac:dyDescent="0.25">
      <c r="A3" s="27"/>
      <c r="B3" s="2" t="s">
        <v>4</v>
      </c>
      <c r="C3" s="1">
        <v>2</v>
      </c>
      <c r="D3" s="1">
        <v>3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1</v>
      </c>
      <c r="K3" s="1">
        <v>1</v>
      </c>
      <c r="L3" s="1">
        <v>1</v>
      </c>
    </row>
    <row r="4" spans="1:30" x14ac:dyDescent="0.25">
      <c r="A4" s="27"/>
      <c r="B4" s="2" t="s">
        <v>5</v>
      </c>
      <c r="C4" s="1">
        <v>0</v>
      </c>
      <c r="D4" s="1">
        <v>0</v>
      </c>
      <c r="E4" s="1">
        <v>1</v>
      </c>
      <c r="F4" s="1">
        <v>1</v>
      </c>
      <c r="G4" s="1">
        <v>1</v>
      </c>
      <c r="H4" s="1">
        <v>2</v>
      </c>
      <c r="I4" s="1">
        <v>2</v>
      </c>
      <c r="J4" s="1">
        <v>2</v>
      </c>
      <c r="K4" s="1">
        <v>3</v>
      </c>
      <c r="L4" s="1">
        <v>4</v>
      </c>
    </row>
    <row r="5" spans="1:30" x14ac:dyDescent="0.25">
      <c r="A5" s="27"/>
      <c r="B5" s="2" t="s">
        <v>6</v>
      </c>
      <c r="C5" s="1">
        <v>9</v>
      </c>
      <c r="D5" s="1">
        <f>C5+9</f>
        <v>18</v>
      </c>
      <c r="E5" s="1">
        <f t="shared" ref="E5:L5" si="0">D5+9</f>
        <v>27</v>
      </c>
      <c r="F5" s="1">
        <f t="shared" si="0"/>
        <v>36</v>
      </c>
      <c r="G5" s="1">
        <f t="shared" si="0"/>
        <v>45</v>
      </c>
      <c r="H5" s="1">
        <f t="shared" si="0"/>
        <v>54</v>
      </c>
      <c r="I5" s="1">
        <f t="shared" si="0"/>
        <v>63</v>
      </c>
      <c r="J5" s="1">
        <f t="shared" si="0"/>
        <v>72</v>
      </c>
      <c r="K5" s="1">
        <f t="shared" si="0"/>
        <v>81</v>
      </c>
      <c r="L5" s="9">
        <f t="shared" si="0"/>
        <v>90</v>
      </c>
    </row>
    <row r="6" spans="1:30" x14ac:dyDescent="0.25">
      <c r="A6" s="27"/>
      <c r="B6" s="1" t="s">
        <v>7</v>
      </c>
      <c r="C6" s="1">
        <v>9</v>
      </c>
      <c r="D6" s="1">
        <v>19</v>
      </c>
      <c r="E6" s="1">
        <v>38</v>
      </c>
      <c r="F6" s="1">
        <v>49</v>
      </c>
      <c r="G6" s="1">
        <v>47</v>
      </c>
      <c r="H6" s="1">
        <v>60</v>
      </c>
      <c r="I6" s="1">
        <v>65</v>
      </c>
      <c r="J6" s="1">
        <v>73</v>
      </c>
      <c r="K6" s="1">
        <v>85</v>
      </c>
      <c r="L6" s="9">
        <v>93</v>
      </c>
    </row>
    <row r="7" spans="1:30" x14ac:dyDescent="0.25">
      <c r="A7" s="27"/>
      <c r="B7" s="1" t="s">
        <v>8</v>
      </c>
      <c r="C7" s="1">
        <v>0.61170000000000002</v>
      </c>
      <c r="D7" s="1">
        <v>0.91767299999999996</v>
      </c>
      <c r="E7" s="1">
        <v>1.0609999999999999</v>
      </c>
      <c r="F7" s="1">
        <v>1.0609999999999999</v>
      </c>
      <c r="G7" s="1">
        <v>1.0609999999999999</v>
      </c>
      <c r="H7" s="1">
        <v>1.5109999999999999</v>
      </c>
      <c r="I7" s="1">
        <v>1.5109999999999999</v>
      </c>
      <c r="J7" s="1">
        <v>1.8176000000000001</v>
      </c>
      <c r="K7" s="1">
        <v>2.5735000000000001</v>
      </c>
      <c r="L7" s="1">
        <v>3.3294000000000001</v>
      </c>
      <c r="AD7" s="4"/>
    </row>
    <row r="8" spans="1:30" x14ac:dyDescent="0.25">
      <c r="A8" s="27"/>
      <c r="B8" s="1" t="s">
        <v>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</row>
    <row r="9" spans="1:30" x14ac:dyDescent="0.25">
      <c r="A9" s="27"/>
      <c r="B9" s="1" t="s">
        <v>13</v>
      </c>
      <c r="C9" s="15">
        <v>3160</v>
      </c>
      <c r="D9" s="16"/>
      <c r="E9" s="16"/>
      <c r="F9" s="16"/>
      <c r="G9" s="16"/>
      <c r="H9" s="16"/>
      <c r="I9" s="16"/>
      <c r="J9" s="16"/>
      <c r="K9" s="16"/>
      <c r="L9" s="17"/>
    </row>
    <row r="10" spans="1:30" x14ac:dyDescent="0.25">
      <c r="A10" s="27"/>
      <c r="B10" s="1" t="s">
        <v>10</v>
      </c>
      <c r="C10" s="15">
        <v>4615</v>
      </c>
      <c r="D10" s="16"/>
      <c r="E10" s="16"/>
      <c r="F10" s="16"/>
      <c r="G10" s="16"/>
      <c r="H10" s="16"/>
      <c r="I10" s="16"/>
      <c r="J10" s="16"/>
      <c r="K10" s="16"/>
      <c r="L10" s="17"/>
    </row>
    <row r="11" spans="1:30" x14ac:dyDescent="0.25">
      <c r="A11" s="27"/>
      <c r="B11" s="1" t="s">
        <v>11</v>
      </c>
      <c r="C11" s="15">
        <v>0</v>
      </c>
      <c r="D11" s="16"/>
      <c r="E11" s="16"/>
      <c r="F11" s="16"/>
      <c r="G11" s="16"/>
      <c r="H11" s="16"/>
      <c r="I11" s="16"/>
      <c r="J11" s="16"/>
      <c r="K11" s="16"/>
      <c r="L11" s="17"/>
    </row>
    <row r="12" spans="1:30" x14ac:dyDescent="0.25">
      <c r="A12" s="27"/>
      <c r="B12" s="1" t="s">
        <v>12</v>
      </c>
      <c r="C12" s="15">
        <v>3172</v>
      </c>
      <c r="D12" s="16"/>
      <c r="E12" s="16"/>
      <c r="F12" s="16"/>
      <c r="G12" s="16"/>
      <c r="H12" s="16"/>
      <c r="I12" s="16"/>
      <c r="J12" s="16"/>
      <c r="K12" s="16"/>
      <c r="L12" s="17"/>
    </row>
    <row r="13" spans="1:30" x14ac:dyDescent="0.25">
      <c r="A13" s="27"/>
      <c r="B13" s="1" t="s">
        <v>14</v>
      </c>
      <c r="C13" s="15">
        <v>3172</v>
      </c>
      <c r="D13" s="16"/>
      <c r="E13" s="16"/>
      <c r="F13" s="16"/>
      <c r="G13" s="16"/>
      <c r="H13" s="16"/>
      <c r="I13" s="16"/>
      <c r="J13" s="16"/>
      <c r="K13" s="16"/>
      <c r="L13" s="17"/>
      <c r="N13" s="1" t="s">
        <v>17</v>
      </c>
      <c r="O13" s="1" t="s">
        <v>18</v>
      </c>
      <c r="P13" s="1" t="s">
        <v>19</v>
      </c>
    </row>
    <row r="14" spans="1:30" x14ac:dyDescent="0.25">
      <c r="A14" s="27"/>
      <c r="B14" s="1" t="s">
        <v>15</v>
      </c>
      <c r="C14" s="1">
        <v>0.1096</v>
      </c>
      <c r="D14" s="1">
        <v>0.16500000000000001</v>
      </c>
      <c r="E14" s="1">
        <v>0.12039999999999999</v>
      </c>
      <c r="F14" s="1">
        <v>0.11070000000000001</v>
      </c>
      <c r="G14" s="1">
        <v>0.12139999999999999</v>
      </c>
      <c r="H14" s="1">
        <v>0.58699999999999997</v>
      </c>
      <c r="I14" s="1">
        <v>0.17760000000000001</v>
      </c>
      <c r="J14" s="1">
        <v>0.17050000000000001</v>
      </c>
      <c r="K14" s="1">
        <v>0.31919999999999998</v>
      </c>
      <c r="L14" s="1">
        <v>0.2326</v>
      </c>
      <c r="N14" s="1">
        <f>SUM(C14:L14)</f>
        <v>2.1139999999999999</v>
      </c>
      <c r="O14" s="1">
        <f>ROUND(N14/60,2)</f>
        <v>0.04</v>
      </c>
      <c r="P14" s="1">
        <f>ROUND(O14/60,2)</f>
        <v>0</v>
      </c>
    </row>
    <row r="15" spans="1:30" x14ac:dyDescent="0.25">
      <c r="A15" s="28"/>
      <c r="B15" s="1" t="s">
        <v>16</v>
      </c>
      <c r="C15" s="1">
        <v>0.4229</v>
      </c>
      <c r="D15" s="1">
        <v>0.46899999999999997</v>
      </c>
      <c r="E15" s="1">
        <v>0.46610000000000001</v>
      </c>
      <c r="F15" s="1">
        <v>0.46660000000000001</v>
      </c>
      <c r="G15" s="1">
        <v>0.4728</v>
      </c>
      <c r="H15" s="1">
        <v>0.87309999999999999</v>
      </c>
      <c r="I15" s="1">
        <v>0.53680000000000005</v>
      </c>
      <c r="J15" s="1">
        <v>0.53059999999999996</v>
      </c>
      <c r="K15" s="1">
        <v>0.68879999999999997</v>
      </c>
      <c r="L15" s="1">
        <v>0.52100000000000002</v>
      </c>
      <c r="N15" s="1">
        <f>SUM(C15:L15)</f>
        <v>5.4476999999999993</v>
      </c>
      <c r="O15" s="1">
        <f>ROUND(N15/60,2)</f>
        <v>0.09</v>
      </c>
      <c r="P15" s="1">
        <f>ROUND(O15/60,2)</f>
        <v>0</v>
      </c>
    </row>
    <row r="16" spans="1:30" x14ac:dyDescent="0.25">
      <c r="A16" s="22">
        <v>0.2</v>
      </c>
      <c r="B16" s="2" t="s">
        <v>3</v>
      </c>
      <c r="C16" s="15">
        <v>20</v>
      </c>
      <c r="D16" s="16"/>
      <c r="E16" s="16"/>
      <c r="F16" s="16"/>
      <c r="G16" s="16"/>
      <c r="H16" s="16"/>
      <c r="I16" s="16"/>
      <c r="J16" s="16"/>
      <c r="K16" s="16"/>
      <c r="L16" s="17"/>
    </row>
    <row r="17" spans="1:16" x14ac:dyDescent="0.25">
      <c r="A17" s="22"/>
      <c r="B17" s="2" t="s">
        <v>4</v>
      </c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</row>
    <row r="18" spans="1:16" x14ac:dyDescent="0.25">
      <c r="A18" s="22"/>
      <c r="B18" s="2" t="s">
        <v>5</v>
      </c>
      <c r="C18" s="1">
        <v>0</v>
      </c>
      <c r="D18" s="1">
        <v>1</v>
      </c>
      <c r="E18" s="1">
        <v>1</v>
      </c>
      <c r="F18" s="1">
        <v>1</v>
      </c>
      <c r="G18" s="1">
        <v>1</v>
      </c>
      <c r="H18" s="1">
        <v>2</v>
      </c>
      <c r="I18" s="1">
        <v>2</v>
      </c>
      <c r="J18" s="1">
        <v>3</v>
      </c>
      <c r="K18" s="1">
        <v>3</v>
      </c>
      <c r="L18" s="1">
        <v>5</v>
      </c>
    </row>
    <row r="19" spans="1:16" x14ac:dyDescent="0.25">
      <c r="A19" s="22"/>
      <c r="B19" s="2" t="s">
        <v>6</v>
      </c>
      <c r="C19" s="1">
        <v>10</v>
      </c>
      <c r="D19" s="1">
        <f>C19+10</f>
        <v>20</v>
      </c>
      <c r="E19" s="1">
        <f t="shared" ref="E19:L19" si="1">D19+10</f>
        <v>30</v>
      </c>
      <c r="F19" s="1">
        <f t="shared" si="1"/>
        <v>40</v>
      </c>
      <c r="G19" s="1">
        <f t="shared" si="1"/>
        <v>50</v>
      </c>
      <c r="H19" s="1">
        <f t="shared" si="1"/>
        <v>60</v>
      </c>
      <c r="I19" s="1">
        <f t="shared" si="1"/>
        <v>70</v>
      </c>
      <c r="J19" s="1">
        <f t="shared" si="1"/>
        <v>80</v>
      </c>
      <c r="K19" s="1">
        <f t="shared" si="1"/>
        <v>90</v>
      </c>
      <c r="L19" s="1">
        <f t="shared" si="1"/>
        <v>100</v>
      </c>
    </row>
    <row r="20" spans="1:16" x14ac:dyDescent="0.25">
      <c r="A20" s="22"/>
      <c r="B20" s="1" t="s">
        <v>7</v>
      </c>
      <c r="C20" s="1">
        <v>14</v>
      </c>
      <c r="D20" s="1">
        <v>48</v>
      </c>
      <c r="E20" s="1">
        <v>48</v>
      </c>
      <c r="F20" s="1">
        <v>49</v>
      </c>
      <c r="G20" s="1">
        <v>50</v>
      </c>
      <c r="H20" s="1">
        <v>73</v>
      </c>
      <c r="I20" s="1">
        <v>70</v>
      </c>
      <c r="J20" s="1">
        <v>87</v>
      </c>
      <c r="K20" s="1">
        <v>91</v>
      </c>
      <c r="L20" s="1">
        <v>100</v>
      </c>
    </row>
    <row r="21" spans="1:16" x14ac:dyDescent="0.25">
      <c r="A21" s="22"/>
      <c r="B21" s="1" t="s">
        <v>8</v>
      </c>
      <c r="C21" s="1">
        <v>0.61170000000000002</v>
      </c>
      <c r="D21" s="1">
        <v>1.0609999999999999</v>
      </c>
      <c r="E21" s="1">
        <v>1.0609999999999999</v>
      </c>
      <c r="F21" s="1">
        <v>1.0609999999999999</v>
      </c>
      <c r="G21" s="1">
        <v>1.0609999999999999</v>
      </c>
      <c r="H21" s="1">
        <v>1.5109999999999999</v>
      </c>
      <c r="I21" s="1">
        <v>1.5109999999999999</v>
      </c>
      <c r="J21" s="1">
        <v>2.2675999999999998</v>
      </c>
      <c r="K21" s="1">
        <v>2.5735000000000001</v>
      </c>
      <c r="L21" s="1">
        <v>4.0853000000000002</v>
      </c>
    </row>
    <row r="22" spans="1:16" x14ac:dyDescent="0.25">
      <c r="A22" s="22"/>
      <c r="B22" s="1" t="s">
        <v>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6" x14ac:dyDescent="0.25">
      <c r="A23" s="22"/>
      <c r="B23" s="1" t="s">
        <v>13</v>
      </c>
      <c r="C23" s="15">
        <v>7620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1:16" x14ac:dyDescent="0.25">
      <c r="A24" s="22"/>
      <c r="B24" s="1" t="s">
        <v>10</v>
      </c>
      <c r="C24" s="15">
        <v>12725</v>
      </c>
      <c r="D24" s="16"/>
      <c r="E24" s="16"/>
      <c r="F24" s="16"/>
      <c r="G24" s="16"/>
      <c r="H24" s="16"/>
      <c r="I24" s="16"/>
      <c r="J24" s="16"/>
      <c r="K24" s="16"/>
      <c r="L24" s="17"/>
    </row>
    <row r="25" spans="1:16" x14ac:dyDescent="0.25">
      <c r="A25" s="22"/>
      <c r="B25" s="1" t="s">
        <v>11</v>
      </c>
      <c r="C25" s="15">
        <v>0</v>
      </c>
      <c r="D25" s="16"/>
      <c r="E25" s="16"/>
      <c r="F25" s="16"/>
      <c r="G25" s="16"/>
      <c r="H25" s="16"/>
      <c r="I25" s="16"/>
      <c r="J25" s="16"/>
      <c r="K25" s="16"/>
      <c r="L25" s="17"/>
    </row>
    <row r="26" spans="1:16" x14ac:dyDescent="0.25">
      <c r="A26" s="22"/>
      <c r="B26" s="1" t="s">
        <v>12</v>
      </c>
      <c r="C26" s="15">
        <v>7642</v>
      </c>
      <c r="D26" s="16"/>
      <c r="E26" s="16"/>
      <c r="F26" s="16"/>
      <c r="G26" s="16"/>
      <c r="H26" s="16"/>
      <c r="I26" s="16"/>
      <c r="J26" s="16"/>
      <c r="K26" s="16"/>
      <c r="L26" s="17"/>
    </row>
    <row r="27" spans="1:16" x14ac:dyDescent="0.25">
      <c r="A27" s="22"/>
      <c r="B27" s="1" t="s">
        <v>14</v>
      </c>
      <c r="C27" s="15">
        <v>7642</v>
      </c>
      <c r="D27" s="16"/>
      <c r="E27" s="16"/>
      <c r="F27" s="16"/>
      <c r="G27" s="16"/>
      <c r="H27" s="16"/>
      <c r="I27" s="16"/>
      <c r="J27" s="16"/>
      <c r="K27" s="16"/>
      <c r="L27" s="17"/>
      <c r="N27" s="1" t="s">
        <v>17</v>
      </c>
      <c r="O27" s="1" t="s">
        <v>18</v>
      </c>
      <c r="P27" s="1" t="s">
        <v>19</v>
      </c>
    </row>
    <row r="28" spans="1:16" x14ac:dyDescent="0.25">
      <c r="A28" s="22"/>
      <c r="B28" s="1" t="s">
        <v>15</v>
      </c>
      <c r="C28" s="1">
        <v>0.31640000000000001</v>
      </c>
      <c r="D28" s="1">
        <v>0.66059999999999997</v>
      </c>
      <c r="E28" s="1">
        <v>0.64949999999999997</v>
      </c>
      <c r="F28" s="1">
        <v>0.59870000000000001</v>
      </c>
      <c r="G28" s="1">
        <v>0.34189999999999998</v>
      </c>
      <c r="H28" s="1">
        <v>1.73</v>
      </c>
      <c r="I28" s="1">
        <v>0.4632</v>
      </c>
      <c r="J28" s="1">
        <v>2.3912</v>
      </c>
      <c r="K28" s="1">
        <v>2.0680999999999998</v>
      </c>
      <c r="L28" s="1">
        <v>1.4164000000000001</v>
      </c>
      <c r="N28" s="1">
        <f>SUM(C28:L28)</f>
        <v>10.635999999999999</v>
      </c>
      <c r="O28" s="1">
        <f>ROUND(N28/60,2)</f>
        <v>0.18</v>
      </c>
      <c r="P28" s="1">
        <f>ROUND(O28/60,2)</f>
        <v>0</v>
      </c>
    </row>
    <row r="29" spans="1:16" x14ac:dyDescent="0.25">
      <c r="A29" s="22"/>
      <c r="B29" s="1" t="s">
        <v>16</v>
      </c>
      <c r="C29" s="1">
        <v>1.19</v>
      </c>
      <c r="D29" s="1">
        <v>1.62</v>
      </c>
      <c r="E29" s="1">
        <v>1.52</v>
      </c>
      <c r="F29" s="1">
        <v>1.5</v>
      </c>
      <c r="G29" s="1">
        <v>1.28</v>
      </c>
      <c r="H29" s="1">
        <v>2.58</v>
      </c>
      <c r="I29" s="1">
        <v>1.31</v>
      </c>
      <c r="J29" s="1">
        <v>3.27</v>
      </c>
      <c r="K29" s="1">
        <v>3.02</v>
      </c>
      <c r="L29" s="1">
        <v>2.2799999999999998</v>
      </c>
      <c r="N29" s="1">
        <f>SUM(C29:L29)</f>
        <v>19.570000000000004</v>
      </c>
      <c r="O29" s="1">
        <f>ROUND(N29/60,2)</f>
        <v>0.33</v>
      </c>
      <c r="P29" s="1">
        <f>ROUND(O29/60,2)</f>
        <v>0.01</v>
      </c>
    </row>
    <row r="30" spans="1:16" x14ac:dyDescent="0.25">
      <c r="A30" s="26">
        <v>0.3</v>
      </c>
      <c r="B30" s="2" t="s">
        <v>3</v>
      </c>
      <c r="C30" s="15">
        <v>30</v>
      </c>
      <c r="D30" s="16"/>
      <c r="E30" s="16"/>
      <c r="F30" s="16"/>
      <c r="G30" s="16"/>
      <c r="H30" s="16"/>
      <c r="I30" s="16"/>
      <c r="J30" s="16"/>
      <c r="K30" s="16"/>
      <c r="L30" s="17"/>
    </row>
    <row r="31" spans="1:16" x14ac:dyDescent="0.25">
      <c r="A31" s="27"/>
      <c r="B31" s="2" t="s">
        <v>4</v>
      </c>
      <c r="C31" s="1">
        <v>2</v>
      </c>
      <c r="D31" s="1">
        <v>1</v>
      </c>
      <c r="E31" s="1">
        <v>1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3</v>
      </c>
    </row>
    <row r="32" spans="1:16" x14ac:dyDescent="0.25">
      <c r="A32" s="27"/>
      <c r="B32" s="2" t="s">
        <v>5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  <c r="H32" s="1">
        <v>2</v>
      </c>
      <c r="I32" s="1">
        <v>2</v>
      </c>
      <c r="J32" s="1">
        <v>3</v>
      </c>
      <c r="K32" s="1">
        <v>3</v>
      </c>
      <c r="L32" s="1">
        <v>4</v>
      </c>
    </row>
    <row r="33" spans="1:16" x14ac:dyDescent="0.25">
      <c r="A33" s="27"/>
      <c r="B33" s="2" t="s">
        <v>6</v>
      </c>
      <c r="C33" s="1">
        <v>10</v>
      </c>
      <c r="D33" s="1">
        <f>C33+10</f>
        <v>20</v>
      </c>
      <c r="E33" s="1">
        <f t="shared" ref="E33:L33" si="2">D33+10</f>
        <v>30</v>
      </c>
      <c r="F33" s="1">
        <f t="shared" si="2"/>
        <v>40</v>
      </c>
      <c r="G33" s="1">
        <f t="shared" si="2"/>
        <v>50</v>
      </c>
      <c r="H33" s="1">
        <f t="shared" si="2"/>
        <v>60</v>
      </c>
      <c r="I33" s="1">
        <f t="shared" si="2"/>
        <v>70</v>
      </c>
      <c r="J33" s="1">
        <f t="shared" si="2"/>
        <v>80</v>
      </c>
      <c r="K33" s="1">
        <f t="shared" si="2"/>
        <v>90</v>
      </c>
      <c r="L33" s="1">
        <f t="shared" si="2"/>
        <v>100</v>
      </c>
    </row>
    <row r="34" spans="1:16" x14ac:dyDescent="0.25">
      <c r="A34" s="27"/>
      <c r="B34" s="1" t="s">
        <v>7</v>
      </c>
      <c r="C34" s="1">
        <v>12</v>
      </c>
      <c r="D34" s="1">
        <v>28</v>
      </c>
      <c r="E34" s="1">
        <v>47</v>
      </c>
      <c r="F34" s="1">
        <v>47</v>
      </c>
      <c r="G34" s="1">
        <v>52</v>
      </c>
      <c r="H34" s="1">
        <v>70</v>
      </c>
      <c r="I34" s="1">
        <v>70</v>
      </c>
      <c r="J34" s="1">
        <v>80</v>
      </c>
      <c r="K34" s="1">
        <v>90</v>
      </c>
      <c r="L34" s="1">
        <v>100</v>
      </c>
    </row>
    <row r="35" spans="1:16" x14ac:dyDescent="0.25">
      <c r="A35" s="27"/>
      <c r="B35" s="1" t="s">
        <v>8</v>
      </c>
      <c r="C35" s="1">
        <v>0.61170000000000002</v>
      </c>
      <c r="D35" s="1">
        <v>1.0617000000000001</v>
      </c>
      <c r="E35" s="1">
        <v>1.0617000000000001</v>
      </c>
      <c r="F35" s="1">
        <v>1.0617000000000001</v>
      </c>
      <c r="G35" s="1">
        <v>1.0617000000000001</v>
      </c>
      <c r="H35" s="1">
        <v>1.5117</v>
      </c>
      <c r="I35" s="1">
        <v>1.5117</v>
      </c>
      <c r="J35" s="1">
        <v>2.2675999999999998</v>
      </c>
      <c r="K35" s="1">
        <v>2.5735000000000001</v>
      </c>
      <c r="L35" s="1">
        <v>3.9411999999999998</v>
      </c>
    </row>
    <row r="36" spans="1:16" x14ac:dyDescent="0.25">
      <c r="A36" s="27"/>
      <c r="B36" s="1" t="s">
        <v>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6" x14ac:dyDescent="0.25">
      <c r="A37" s="27"/>
      <c r="B37" s="1" t="s">
        <v>13</v>
      </c>
      <c r="C37" s="15">
        <v>13680</v>
      </c>
      <c r="D37" s="16"/>
      <c r="E37" s="16"/>
      <c r="F37" s="16"/>
      <c r="G37" s="16"/>
      <c r="H37" s="16"/>
      <c r="I37" s="16"/>
      <c r="J37" s="16"/>
      <c r="K37" s="16"/>
      <c r="L37" s="17"/>
    </row>
    <row r="38" spans="1:16" x14ac:dyDescent="0.25">
      <c r="A38" s="27"/>
      <c r="B38" s="1" t="s">
        <v>10</v>
      </c>
      <c r="C38" s="15">
        <v>24835</v>
      </c>
      <c r="D38" s="16"/>
      <c r="E38" s="16"/>
      <c r="F38" s="16"/>
      <c r="G38" s="16"/>
      <c r="H38" s="16"/>
      <c r="I38" s="16"/>
      <c r="J38" s="16"/>
      <c r="K38" s="16"/>
      <c r="L38" s="17"/>
    </row>
    <row r="39" spans="1:16" x14ac:dyDescent="0.25">
      <c r="A39" s="27"/>
      <c r="B39" s="1" t="s">
        <v>11</v>
      </c>
      <c r="C39" s="15">
        <v>0</v>
      </c>
      <c r="D39" s="16"/>
      <c r="E39" s="16"/>
      <c r="F39" s="16"/>
      <c r="G39" s="16"/>
      <c r="H39" s="16"/>
      <c r="I39" s="16"/>
      <c r="J39" s="16"/>
      <c r="K39" s="16"/>
      <c r="L39" s="17"/>
    </row>
    <row r="40" spans="1:16" x14ac:dyDescent="0.25">
      <c r="A40" s="27"/>
      <c r="B40" s="1" t="s">
        <v>12</v>
      </c>
      <c r="C40" s="15">
        <v>13712</v>
      </c>
      <c r="D40" s="16"/>
      <c r="E40" s="16"/>
      <c r="F40" s="16"/>
      <c r="G40" s="16"/>
      <c r="H40" s="16"/>
      <c r="I40" s="16"/>
      <c r="J40" s="16"/>
      <c r="K40" s="16"/>
      <c r="L40" s="17"/>
    </row>
    <row r="41" spans="1:16" x14ac:dyDescent="0.25">
      <c r="A41" s="27"/>
      <c r="B41" s="1" t="s">
        <v>14</v>
      </c>
      <c r="C41" s="15">
        <v>13712</v>
      </c>
      <c r="D41" s="16"/>
      <c r="E41" s="16"/>
      <c r="F41" s="16"/>
      <c r="G41" s="16"/>
      <c r="H41" s="16"/>
      <c r="I41" s="16"/>
      <c r="J41" s="16"/>
      <c r="K41" s="16"/>
      <c r="L41" s="17"/>
      <c r="N41" s="1" t="s">
        <v>17</v>
      </c>
      <c r="O41" s="1" t="s">
        <v>18</v>
      </c>
      <c r="P41" s="1" t="s">
        <v>19</v>
      </c>
    </row>
    <row r="42" spans="1:16" x14ac:dyDescent="0.25">
      <c r="A42" s="27"/>
      <c r="B42" s="1" t="s">
        <v>15</v>
      </c>
      <c r="C42" s="1">
        <v>0.43</v>
      </c>
      <c r="D42" s="1">
        <v>1.139</v>
      </c>
      <c r="E42" s="1">
        <v>0.8337</v>
      </c>
      <c r="F42" s="1">
        <v>0.50560000000000005</v>
      </c>
      <c r="G42" s="1">
        <v>0.57840000000000003</v>
      </c>
      <c r="H42" s="1">
        <v>4.1313000000000004</v>
      </c>
      <c r="I42" s="1">
        <v>0.45119999999999999</v>
      </c>
      <c r="J42" s="1">
        <v>5.4694000000000003</v>
      </c>
      <c r="K42" s="1">
        <v>4.0354000000000001</v>
      </c>
      <c r="L42" s="1">
        <v>2.8521000000000001</v>
      </c>
      <c r="N42" s="1">
        <f>SUM(C42:L42)</f>
        <v>20.426100000000002</v>
      </c>
      <c r="O42" s="1">
        <f>ROUND(N42/60,2)</f>
        <v>0.34</v>
      </c>
      <c r="P42" s="1">
        <f>ROUND(O42/60,2)</f>
        <v>0.01</v>
      </c>
    </row>
    <row r="43" spans="1:16" x14ac:dyDescent="0.25">
      <c r="A43" s="28"/>
      <c r="B43" s="1" t="s">
        <v>16</v>
      </c>
      <c r="C43" s="1">
        <v>2.1800000000000002</v>
      </c>
      <c r="D43" s="1">
        <v>2.87</v>
      </c>
      <c r="E43" s="1">
        <v>2.5299999999999998</v>
      </c>
      <c r="F43" s="1">
        <v>2.2200000000000002</v>
      </c>
      <c r="G43" s="1">
        <v>2.2799999999999998</v>
      </c>
      <c r="H43" s="1">
        <v>5.83</v>
      </c>
      <c r="I43" s="1">
        <v>2.1800000000000002</v>
      </c>
      <c r="J43" s="1">
        <v>7.24</v>
      </c>
      <c r="K43" s="1">
        <v>5.75</v>
      </c>
      <c r="L43" s="1">
        <v>4.55</v>
      </c>
      <c r="N43" s="1">
        <f>SUM(C43:L43)</f>
        <v>37.629999999999995</v>
      </c>
      <c r="O43" s="1">
        <f>ROUND(N43/60,2)</f>
        <v>0.63</v>
      </c>
      <c r="P43" s="1">
        <f>ROUND(O43/60,2)</f>
        <v>0.01</v>
      </c>
    </row>
    <row r="44" spans="1:16" x14ac:dyDescent="0.25">
      <c r="A44" s="22">
        <v>0.4</v>
      </c>
      <c r="B44" s="2" t="s">
        <v>3</v>
      </c>
      <c r="C44" s="15">
        <v>40</v>
      </c>
      <c r="D44" s="16"/>
      <c r="E44" s="16"/>
      <c r="F44" s="16"/>
      <c r="G44" s="16"/>
      <c r="H44" s="16"/>
      <c r="I44" s="16"/>
      <c r="J44" s="16"/>
      <c r="K44" s="16"/>
      <c r="L44" s="17"/>
    </row>
    <row r="45" spans="1:16" x14ac:dyDescent="0.25">
      <c r="A45" s="22"/>
      <c r="B45" s="2" t="s">
        <v>4</v>
      </c>
      <c r="C45" s="9">
        <v>2</v>
      </c>
      <c r="D45" s="9">
        <v>3</v>
      </c>
      <c r="E45" s="9">
        <v>1</v>
      </c>
      <c r="F45" s="9">
        <v>1</v>
      </c>
      <c r="G45" s="9">
        <v>1</v>
      </c>
      <c r="H45" s="9">
        <v>1</v>
      </c>
      <c r="I45" s="9">
        <v>0</v>
      </c>
      <c r="J45" s="9">
        <v>0</v>
      </c>
      <c r="K45" s="9">
        <v>2</v>
      </c>
      <c r="L45" s="9">
        <v>0</v>
      </c>
    </row>
    <row r="46" spans="1:16" x14ac:dyDescent="0.25">
      <c r="A46" s="22"/>
      <c r="B46" s="2" t="s">
        <v>5</v>
      </c>
      <c r="C46" s="9">
        <v>0</v>
      </c>
      <c r="D46" s="9">
        <v>0</v>
      </c>
      <c r="E46" s="9">
        <v>1</v>
      </c>
      <c r="F46" s="9">
        <v>1</v>
      </c>
      <c r="G46" s="9">
        <v>1</v>
      </c>
      <c r="H46" s="9">
        <v>1</v>
      </c>
      <c r="I46" s="9">
        <v>2</v>
      </c>
      <c r="J46" s="9">
        <v>2</v>
      </c>
      <c r="K46" s="9">
        <v>2</v>
      </c>
      <c r="L46" s="9">
        <v>3</v>
      </c>
    </row>
    <row r="47" spans="1:16" x14ac:dyDescent="0.25">
      <c r="A47" s="22"/>
      <c r="B47" s="2" t="s">
        <v>6</v>
      </c>
      <c r="C47" s="9">
        <v>9</v>
      </c>
      <c r="D47" s="9">
        <f>C47+9</f>
        <v>18</v>
      </c>
      <c r="E47" s="9">
        <f t="shared" ref="E47:J47" si="3">D47+9</f>
        <v>27</v>
      </c>
      <c r="F47" s="9">
        <f t="shared" si="3"/>
        <v>36</v>
      </c>
      <c r="G47" s="9">
        <f t="shared" si="3"/>
        <v>45</v>
      </c>
      <c r="H47" s="9">
        <f t="shared" si="3"/>
        <v>54</v>
      </c>
      <c r="I47" s="9">
        <f t="shared" si="3"/>
        <v>63</v>
      </c>
      <c r="J47" s="9">
        <f t="shared" si="3"/>
        <v>72</v>
      </c>
      <c r="K47" s="9">
        <f>J47+9</f>
        <v>81</v>
      </c>
      <c r="L47" s="9">
        <f>K47+9</f>
        <v>90</v>
      </c>
    </row>
    <row r="48" spans="1:16" x14ac:dyDescent="0.25">
      <c r="A48" s="22"/>
      <c r="B48" s="1" t="s">
        <v>7</v>
      </c>
      <c r="C48" s="9">
        <v>11</v>
      </c>
      <c r="D48" s="9">
        <v>19</v>
      </c>
      <c r="E48" s="9">
        <v>51</v>
      </c>
      <c r="F48" s="9">
        <v>51</v>
      </c>
      <c r="G48" s="9">
        <v>49</v>
      </c>
      <c r="H48" s="9">
        <v>54</v>
      </c>
      <c r="I48" s="9">
        <v>68</v>
      </c>
      <c r="J48" s="9">
        <v>73</v>
      </c>
      <c r="K48" s="9">
        <v>81</v>
      </c>
      <c r="L48" s="9">
        <v>91</v>
      </c>
    </row>
    <row r="49" spans="1:16" x14ac:dyDescent="0.25">
      <c r="A49" s="22"/>
      <c r="B49" s="1" t="s">
        <v>8</v>
      </c>
      <c r="C49" s="9">
        <v>0.61170000000000002</v>
      </c>
      <c r="D49" s="9">
        <v>0.91759999999999997</v>
      </c>
      <c r="E49" s="9">
        <v>1.0617000000000001</v>
      </c>
      <c r="F49" s="9">
        <v>1.0617000000000001</v>
      </c>
      <c r="G49" s="9">
        <v>1.0617000000000001</v>
      </c>
      <c r="H49" s="9">
        <v>1.0617000000000001</v>
      </c>
      <c r="I49" s="9">
        <v>1.5117</v>
      </c>
      <c r="J49" s="9">
        <v>1.5117</v>
      </c>
      <c r="K49" s="9">
        <v>2.1234999999999999</v>
      </c>
      <c r="L49" s="9">
        <v>2.2675999999999998</v>
      </c>
    </row>
    <row r="50" spans="1:16" x14ac:dyDescent="0.25">
      <c r="A50" s="22"/>
      <c r="B50" s="1" t="s">
        <v>9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</row>
    <row r="51" spans="1:16" x14ac:dyDescent="0.25">
      <c r="A51" s="22"/>
      <c r="B51" s="1" t="s">
        <v>13</v>
      </c>
      <c r="C51" s="18">
        <v>21340</v>
      </c>
      <c r="D51" s="19"/>
      <c r="E51" s="19"/>
      <c r="F51" s="19"/>
      <c r="G51" s="19"/>
      <c r="H51" s="19"/>
      <c r="I51" s="19"/>
      <c r="J51" s="19"/>
      <c r="K51" s="19"/>
      <c r="L51" s="20"/>
    </row>
    <row r="52" spans="1:16" x14ac:dyDescent="0.25">
      <c r="A52" s="22"/>
      <c r="B52" s="1" t="s">
        <v>10</v>
      </c>
      <c r="C52" s="18">
        <v>40945</v>
      </c>
      <c r="D52" s="19"/>
      <c r="E52" s="19"/>
      <c r="F52" s="19"/>
      <c r="G52" s="19"/>
      <c r="H52" s="19"/>
      <c r="I52" s="19"/>
      <c r="J52" s="19"/>
      <c r="K52" s="19"/>
      <c r="L52" s="20"/>
    </row>
    <row r="53" spans="1:16" x14ac:dyDescent="0.25">
      <c r="A53" s="22"/>
      <c r="B53" s="1" t="s">
        <v>11</v>
      </c>
      <c r="C53" s="18">
        <v>0</v>
      </c>
      <c r="D53" s="19"/>
      <c r="E53" s="19"/>
      <c r="F53" s="19"/>
      <c r="G53" s="19"/>
      <c r="H53" s="19"/>
      <c r="I53" s="19"/>
      <c r="J53" s="19"/>
      <c r="K53" s="19"/>
      <c r="L53" s="20"/>
    </row>
    <row r="54" spans="1:16" x14ac:dyDescent="0.25">
      <c r="A54" s="22"/>
      <c r="B54" s="1" t="s">
        <v>12</v>
      </c>
      <c r="C54" s="18">
        <v>21382</v>
      </c>
      <c r="D54" s="19"/>
      <c r="E54" s="19"/>
      <c r="F54" s="19"/>
      <c r="G54" s="19"/>
      <c r="H54" s="19"/>
      <c r="I54" s="19"/>
      <c r="J54" s="19"/>
      <c r="K54" s="19"/>
      <c r="L54" s="20"/>
    </row>
    <row r="55" spans="1:16" x14ac:dyDescent="0.25">
      <c r="A55" s="22"/>
      <c r="B55" s="1" t="s">
        <v>14</v>
      </c>
      <c r="C55" s="18">
        <v>21382</v>
      </c>
      <c r="D55" s="19"/>
      <c r="E55" s="19"/>
      <c r="F55" s="19"/>
      <c r="G55" s="19"/>
      <c r="H55" s="19"/>
      <c r="I55" s="19"/>
      <c r="J55" s="19"/>
      <c r="K55" s="19"/>
      <c r="L55" s="20"/>
      <c r="N55" s="1" t="s">
        <v>17</v>
      </c>
      <c r="O55" s="1" t="s">
        <v>18</v>
      </c>
      <c r="P55" s="1" t="s">
        <v>19</v>
      </c>
    </row>
    <row r="56" spans="1:16" x14ac:dyDescent="0.25">
      <c r="A56" s="22"/>
      <c r="B56" s="1" t="s">
        <v>15</v>
      </c>
      <c r="C56" s="9">
        <v>0.90480000000000005</v>
      </c>
      <c r="D56" s="9">
        <v>1.5403</v>
      </c>
      <c r="E56" s="9">
        <v>4.5125000000000002</v>
      </c>
      <c r="F56" s="9">
        <v>1.5479000000000001</v>
      </c>
      <c r="G56" s="9">
        <v>1.6722999999999999</v>
      </c>
      <c r="H56" s="9">
        <v>2.9327000000000001</v>
      </c>
      <c r="I56" s="9">
        <v>7.5452000000000004</v>
      </c>
      <c r="J56" s="9">
        <v>1.7393000000000001</v>
      </c>
      <c r="K56" s="9">
        <v>11.912800000000001</v>
      </c>
      <c r="L56" s="9">
        <v>1.7514000000000001</v>
      </c>
      <c r="N56" s="1">
        <f>SUM(C56:L56)</f>
        <v>36.059199999999997</v>
      </c>
      <c r="O56" s="1">
        <f>ROUND(N56/60,2)</f>
        <v>0.6</v>
      </c>
      <c r="P56" s="1">
        <f>ROUND(O56/60,2)</f>
        <v>0.01</v>
      </c>
    </row>
    <row r="57" spans="1:16" x14ac:dyDescent="0.25">
      <c r="A57" s="22"/>
      <c r="B57" s="1" t="s">
        <v>16</v>
      </c>
      <c r="C57" s="1">
        <v>3.8</v>
      </c>
      <c r="D57" s="1">
        <v>4.3499999999999996</v>
      </c>
      <c r="E57" s="1">
        <v>7.38</v>
      </c>
      <c r="F57" s="1">
        <v>4.2699999999999996</v>
      </c>
      <c r="G57" s="9">
        <v>4.37</v>
      </c>
      <c r="H57" s="1">
        <v>5.61</v>
      </c>
      <c r="I57" s="1">
        <v>10.46</v>
      </c>
      <c r="J57" s="1">
        <v>4.76</v>
      </c>
      <c r="K57" s="1">
        <v>14.97</v>
      </c>
      <c r="L57" s="1">
        <v>4.96</v>
      </c>
      <c r="N57" s="1">
        <f>SUM(C57:L57)</f>
        <v>64.929999999999993</v>
      </c>
      <c r="O57" s="1">
        <f>ROUND(N57/60,2)</f>
        <v>1.08</v>
      </c>
      <c r="P57" s="1">
        <f>ROUND(O57/60,2)</f>
        <v>0.02</v>
      </c>
    </row>
    <row r="58" spans="1:16" x14ac:dyDescent="0.25">
      <c r="A58" s="22">
        <v>0.5</v>
      </c>
      <c r="B58" s="2" t="s">
        <v>3</v>
      </c>
      <c r="C58" s="15">
        <v>50</v>
      </c>
      <c r="D58" s="16"/>
      <c r="E58" s="16"/>
      <c r="F58" s="16"/>
      <c r="G58" s="16"/>
      <c r="H58" s="16"/>
      <c r="I58" s="16"/>
      <c r="J58" s="16"/>
      <c r="K58" s="16"/>
      <c r="L58" s="17"/>
    </row>
    <row r="59" spans="1:16" x14ac:dyDescent="0.25">
      <c r="A59" s="22"/>
      <c r="B59" s="2" t="s">
        <v>4</v>
      </c>
      <c r="C59" s="1">
        <v>3</v>
      </c>
      <c r="D59" s="1">
        <v>4</v>
      </c>
      <c r="E59" s="1">
        <v>2</v>
      </c>
      <c r="F59" s="1">
        <v>2</v>
      </c>
      <c r="G59" s="1">
        <v>2</v>
      </c>
      <c r="H59" s="1">
        <v>3</v>
      </c>
      <c r="I59" s="1">
        <v>1</v>
      </c>
      <c r="J59" s="1">
        <v>2</v>
      </c>
      <c r="K59" s="1">
        <v>1</v>
      </c>
      <c r="L59" s="1">
        <v>1</v>
      </c>
    </row>
    <row r="60" spans="1:16" x14ac:dyDescent="0.25">
      <c r="A60" s="22"/>
      <c r="B60" s="2" t="s">
        <v>5</v>
      </c>
      <c r="C60" s="1">
        <v>0</v>
      </c>
      <c r="D60" s="1">
        <v>0</v>
      </c>
      <c r="E60" s="1">
        <v>1</v>
      </c>
      <c r="F60" s="1">
        <v>1</v>
      </c>
      <c r="G60" s="1">
        <v>1</v>
      </c>
      <c r="H60" s="1">
        <v>1</v>
      </c>
      <c r="I60" s="1">
        <v>2</v>
      </c>
      <c r="J60" s="1">
        <v>2</v>
      </c>
      <c r="K60" s="1">
        <v>3</v>
      </c>
      <c r="L60" s="1">
        <v>4</v>
      </c>
    </row>
    <row r="61" spans="1:16" x14ac:dyDescent="0.25">
      <c r="A61" s="22"/>
      <c r="B61" s="2" t="s">
        <v>6</v>
      </c>
      <c r="C61" s="1">
        <v>10</v>
      </c>
      <c r="D61" s="1">
        <f>C61+10</f>
        <v>20</v>
      </c>
      <c r="E61" s="1">
        <f t="shared" ref="E61:L61" si="4">D61+10</f>
        <v>30</v>
      </c>
      <c r="F61" s="1">
        <f t="shared" si="4"/>
        <v>40</v>
      </c>
      <c r="G61" s="1">
        <f t="shared" si="4"/>
        <v>50</v>
      </c>
      <c r="H61" s="1">
        <f t="shared" si="4"/>
        <v>60</v>
      </c>
      <c r="I61" s="1">
        <f t="shared" si="4"/>
        <v>70</v>
      </c>
      <c r="J61" s="1">
        <f t="shared" si="4"/>
        <v>80</v>
      </c>
      <c r="K61" s="1">
        <f t="shared" si="4"/>
        <v>90</v>
      </c>
      <c r="L61" s="1">
        <f t="shared" si="4"/>
        <v>100</v>
      </c>
    </row>
    <row r="62" spans="1:16" x14ac:dyDescent="0.25">
      <c r="A62" s="22"/>
      <c r="B62" s="1" t="s">
        <v>7</v>
      </c>
      <c r="C62" s="1">
        <v>12</v>
      </c>
      <c r="D62" s="1">
        <v>21</v>
      </c>
      <c r="E62" s="1">
        <v>41</v>
      </c>
      <c r="F62" s="1">
        <v>40</v>
      </c>
      <c r="G62" s="1">
        <v>53</v>
      </c>
      <c r="H62" s="1">
        <v>61</v>
      </c>
      <c r="I62" s="1">
        <v>70</v>
      </c>
      <c r="J62" s="1">
        <v>80</v>
      </c>
      <c r="K62" s="1">
        <v>90</v>
      </c>
      <c r="L62" s="1">
        <v>100</v>
      </c>
    </row>
    <row r="63" spans="1:16" x14ac:dyDescent="0.25">
      <c r="A63" s="22"/>
      <c r="B63" s="1" t="s">
        <v>8</v>
      </c>
      <c r="C63" s="1">
        <v>0.91759999999999997</v>
      </c>
      <c r="D63" s="1">
        <v>1.2235</v>
      </c>
      <c r="E63" s="1">
        <v>1.3675999999999999</v>
      </c>
      <c r="F63" s="1">
        <v>1.3675999999999999</v>
      </c>
      <c r="G63" s="1">
        <v>1.3675999999999999</v>
      </c>
      <c r="H63" s="1">
        <v>1.6735</v>
      </c>
      <c r="I63" s="1">
        <v>1.8176000000000001</v>
      </c>
      <c r="J63" s="1">
        <v>2.1234999999999999</v>
      </c>
      <c r="K63" s="1">
        <v>2.5735000000000001</v>
      </c>
      <c r="L63" s="1">
        <v>3.3894000000000002</v>
      </c>
    </row>
    <row r="64" spans="1:16" x14ac:dyDescent="0.25">
      <c r="A64" s="22"/>
      <c r="B64" s="1" t="s">
        <v>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</row>
    <row r="65" spans="1:16" x14ac:dyDescent="0.25">
      <c r="A65" s="22"/>
      <c r="B65" s="1" t="s">
        <v>13</v>
      </c>
      <c r="C65" s="15">
        <v>30600</v>
      </c>
      <c r="D65" s="16"/>
      <c r="E65" s="16"/>
      <c r="F65" s="16"/>
      <c r="G65" s="16"/>
      <c r="H65" s="16"/>
      <c r="I65" s="16"/>
      <c r="J65" s="16"/>
      <c r="K65" s="16"/>
      <c r="L65" s="17"/>
    </row>
    <row r="66" spans="1:16" x14ac:dyDescent="0.25">
      <c r="A66" s="22"/>
      <c r="B66" s="1" t="s">
        <v>10</v>
      </c>
      <c r="C66" s="15">
        <v>61055</v>
      </c>
      <c r="D66" s="16"/>
      <c r="E66" s="16"/>
      <c r="F66" s="16"/>
      <c r="G66" s="16"/>
      <c r="H66" s="16"/>
      <c r="I66" s="16"/>
      <c r="J66" s="16"/>
      <c r="K66" s="16"/>
      <c r="L66" s="17"/>
    </row>
    <row r="67" spans="1:16" x14ac:dyDescent="0.25">
      <c r="A67" s="22"/>
      <c r="B67" s="1" t="s">
        <v>11</v>
      </c>
      <c r="C67" s="15">
        <v>0</v>
      </c>
      <c r="D67" s="16"/>
      <c r="E67" s="16"/>
      <c r="F67" s="16"/>
      <c r="G67" s="16"/>
      <c r="H67" s="16"/>
      <c r="I67" s="16"/>
      <c r="J67" s="16"/>
      <c r="K67" s="16"/>
      <c r="L67" s="17"/>
    </row>
    <row r="68" spans="1:16" x14ac:dyDescent="0.25">
      <c r="A68" s="22"/>
      <c r="B68" s="1" t="s">
        <v>12</v>
      </c>
      <c r="C68" s="15">
        <v>30652</v>
      </c>
      <c r="D68" s="16"/>
      <c r="E68" s="16"/>
      <c r="F68" s="16"/>
      <c r="G68" s="16"/>
      <c r="H68" s="16"/>
      <c r="I68" s="16"/>
      <c r="J68" s="16"/>
      <c r="K68" s="16"/>
      <c r="L68" s="17"/>
    </row>
    <row r="69" spans="1:16" x14ac:dyDescent="0.25">
      <c r="A69" s="22"/>
      <c r="B69" s="1" t="s">
        <v>14</v>
      </c>
      <c r="C69" s="15">
        <v>30652</v>
      </c>
      <c r="D69" s="16"/>
      <c r="E69" s="16"/>
      <c r="F69" s="16"/>
      <c r="G69" s="16"/>
      <c r="H69" s="16"/>
      <c r="I69" s="16"/>
      <c r="J69" s="16"/>
      <c r="K69" s="16"/>
      <c r="L69" s="17"/>
      <c r="N69" s="1" t="s">
        <v>17</v>
      </c>
      <c r="O69" s="1" t="s">
        <v>18</v>
      </c>
      <c r="P69" s="1" t="s">
        <v>19</v>
      </c>
    </row>
    <row r="70" spans="1:16" x14ac:dyDescent="0.25">
      <c r="A70" s="22"/>
      <c r="B70" s="1" t="s">
        <v>15</v>
      </c>
      <c r="C70" s="1">
        <v>1.8163</v>
      </c>
      <c r="D70" s="1">
        <v>5.4797000000000002</v>
      </c>
      <c r="E70" s="1">
        <v>7.2535999999999996</v>
      </c>
      <c r="F70" s="1">
        <v>1.8714999999999999</v>
      </c>
      <c r="G70" s="1">
        <v>1.7859</v>
      </c>
      <c r="H70" s="1">
        <v>23.548999999999999</v>
      </c>
      <c r="I70" s="1">
        <v>21.456399999999999</v>
      </c>
      <c r="J70" s="1">
        <v>27.070499999999999</v>
      </c>
      <c r="K70" s="1">
        <v>20.148900000000001</v>
      </c>
      <c r="L70" s="1">
        <v>13.734999999999999</v>
      </c>
      <c r="N70" s="1">
        <f>SUM(C70:L70)</f>
        <v>124.16679999999999</v>
      </c>
      <c r="O70" s="1">
        <f>ROUND(N70/60,2)</f>
        <v>2.0699999999999998</v>
      </c>
      <c r="P70" s="1">
        <f>ROUND(O70/60,2)</f>
        <v>0.03</v>
      </c>
    </row>
    <row r="71" spans="1:16" x14ac:dyDescent="0.25">
      <c r="A71" s="22"/>
      <c r="B71" s="1" t="s">
        <v>16</v>
      </c>
      <c r="C71" s="1">
        <v>6.31</v>
      </c>
      <c r="D71" s="1">
        <v>9.7200000000000006</v>
      </c>
      <c r="E71" s="1">
        <v>11.63</v>
      </c>
      <c r="F71" s="1">
        <v>6.06</v>
      </c>
      <c r="G71" s="1">
        <v>5.83</v>
      </c>
      <c r="H71" s="1">
        <v>27.64</v>
      </c>
      <c r="I71" s="1">
        <v>25.43</v>
      </c>
      <c r="J71" s="1">
        <v>31.02</v>
      </c>
      <c r="K71" s="1">
        <v>24.28</v>
      </c>
      <c r="L71" s="1">
        <v>17.87</v>
      </c>
      <c r="N71" s="1">
        <f>SUM(C71:L71)</f>
        <v>165.79000000000002</v>
      </c>
      <c r="O71" s="1">
        <f>ROUND(N71/60,2)</f>
        <v>2.76</v>
      </c>
      <c r="P71" s="1">
        <f>ROUND(O71/60,2)</f>
        <v>0.05</v>
      </c>
    </row>
    <row r="80" spans="1:16" x14ac:dyDescent="0.25">
      <c r="N80" s="15" t="s">
        <v>20</v>
      </c>
      <c r="O80" s="16"/>
      <c r="P80" s="17"/>
    </row>
    <row r="81" spans="2:16" x14ac:dyDescent="0.25">
      <c r="N81" s="1" t="s">
        <v>21</v>
      </c>
      <c r="O81" s="1" t="s">
        <v>22</v>
      </c>
      <c r="P81" s="1" t="s">
        <v>23</v>
      </c>
    </row>
    <row r="82" spans="2:16" x14ac:dyDescent="0.25">
      <c r="N82" s="1">
        <f>SUM(N71,N57,N43,N29,N15)</f>
        <v>293.36770000000001</v>
      </c>
      <c r="O82" s="1">
        <f>ROUND(N82/60,2)</f>
        <v>4.8899999999999997</v>
      </c>
      <c r="P82" s="1">
        <f>ROUND(O82/60,2)</f>
        <v>0.08</v>
      </c>
    </row>
    <row r="84" spans="2:16" x14ac:dyDescent="0.25">
      <c r="B84" s="6"/>
    </row>
    <row r="85" spans="2:16" x14ac:dyDescent="0.25">
      <c r="B85" s="6"/>
    </row>
    <row r="86" spans="2:16" x14ac:dyDescent="0.25">
      <c r="B86" s="6"/>
    </row>
    <row r="87" spans="2:16" x14ac:dyDescent="0.25">
      <c r="B87" s="6"/>
    </row>
    <row r="88" spans="2:16" x14ac:dyDescent="0.25">
      <c r="B88" s="6"/>
    </row>
    <row r="89" spans="2:16" x14ac:dyDescent="0.25">
      <c r="B89" s="6"/>
    </row>
    <row r="90" spans="2:16" x14ac:dyDescent="0.25">
      <c r="B90" s="6"/>
    </row>
    <row r="91" spans="2:16" x14ac:dyDescent="0.25">
      <c r="B91" s="6"/>
    </row>
    <row r="92" spans="2:16" x14ac:dyDescent="0.25">
      <c r="B92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14" spans="2:6" x14ac:dyDescent="0.25">
      <c r="B114" s="6"/>
      <c r="C114" s="6"/>
      <c r="D114" s="6"/>
      <c r="E114" s="6"/>
      <c r="F114" s="6"/>
    </row>
    <row r="115" spans="2:6" x14ac:dyDescent="0.25">
      <c r="E115" s="13"/>
    </row>
    <row r="116" spans="2:6" x14ac:dyDescent="0.25">
      <c r="E116" s="13"/>
    </row>
  </sheetData>
  <mergeCells count="36">
    <mergeCell ref="A44:A57"/>
    <mergeCell ref="A58:A71"/>
    <mergeCell ref="C2:L2"/>
    <mergeCell ref="C16:L16"/>
    <mergeCell ref="C30:L30"/>
    <mergeCell ref="C44:L44"/>
    <mergeCell ref="A2:A15"/>
    <mergeCell ref="A16:A29"/>
    <mergeCell ref="C27:L27"/>
    <mergeCell ref="A30:A43"/>
    <mergeCell ref="C37:L37"/>
    <mergeCell ref="C38:L38"/>
    <mergeCell ref="C53:L53"/>
    <mergeCell ref="C58:L58"/>
    <mergeCell ref="C9:L9"/>
    <mergeCell ref="C10:L10"/>
    <mergeCell ref="C11:L11"/>
    <mergeCell ref="C12:L12"/>
    <mergeCell ref="C13:L13"/>
    <mergeCell ref="C23:L23"/>
    <mergeCell ref="C24:L24"/>
    <mergeCell ref="C25:L25"/>
    <mergeCell ref="C26:L26"/>
    <mergeCell ref="C39:L39"/>
    <mergeCell ref="C40:L40"/>
    <mergeCell ref="C41:L41"/>
    <mergeCell ref="C51:L51"/>
    <mergeCell ref="C52:L52"/>
    <mergeCell ref="C69:L69"/>
    <mergeCell ref="N80:P80"/>
    <mergeCell ref="C54:L54"/>
    <mergeCell ref="C55:L55"/>
    <mergeCell ref="C65:L65"/>
    <mergeCell ref="C66:L66"/>
    <mergeCell ref="C67:L67"/>
    <mergeCell ref="C68:L68"/>
  </mergeCells>
  <pageMargins left="0.51181102362204722" right="0.51181102362204722" top="0.78740157480314965" bottom="0.78740157480314965" header="0.31496062992125984" footer="0.31496062992125984"/>
  <pageSetup paperSize="9" scale="6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D67E-A509-420A-97C5-4EE574767A2E}">
  <dimension ref="A1:AD114"/>
  <sheetViews>
    <sheetView zoomScale="70" zoomScaleNormal="70" workbookViewId="0">
      <pane ySplit="1" topLeftCell="A62" activePane="bottomLeft" state="frozen"/>
      <selection pane="bottomLeft" activeCell="V81" sqref="S80:V81"/>
    </sheetView>
  </sheetViews>
  <sheetFormatPr defaultRowHeight="15" x14ac:dyDescent="0.25"/>
  <cols>
    <col min="1" max="1" width="23.28515625" bestFit="1" customWidth="1"/>
    <col min="2" max="2" width="23.140625" customWidth="1"/>
    <col min="3" max="3" width="8.7109375" bestFit="1" customWidth="1"/>
    <col min="4" max="4" width="11.140625" customWidth="1"/>
    <col min="5" max="8" width="8.7109375" bestFit="1" customWidth="1"/>
    <col min="9" max="13" width="10" bestFit="1" customWidth="1"/>
    <col min="14" max="14" width="13.140625" customWidth="1"/>
    <col min="17" max="17" width="11.140625" bestFit="1" customWidth="1"/>
    <col min="18" max="18" width="3.42578125" customWidth="1"/>
    <col min="19" max="19" width="15.7109375" bestFit="1" customWidth="1"/>
    <col min="20" max="20" width="18.140625" bestFit="1" customWidth="1"/>
    <col min="21" max="21" width="15.85546875" bestFit="1" customWidth="1"/>
    <col min="24" max="24" width="16.85546875" bestFit="1" customWidth="1"/>
    <col min="27" max="27" width="15.140625" bestFit="1" customWidth="1"/>
  </cols>
  <sheetData>
    <row r="1" spans="1:30" x14ac:dyDescent="0.25">
      <c r="A1" s="34" t="s">
        <v>2</v>
      </c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30" x14ac:dyDescent="0.25">
      <c r="A2" s="26">
        <v>0.1</v>
      </c>
      <c r="B2" s="2" t="s">
        <v>3</v>
      </c>
      <c r="C2" s="21">
        <v>22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30" x14ac:dyDescent="0.25">
      <c r="A3" s="27"/>
      <c r="B3" s="2" t="s">
        <v>4</v>
      </c>
      <c r="C3" s="1">
        <v>2</v>
      </c>
      <c r="D3" s="1">
        <v>1</v>
      </c>
      <c r="E3" s="1">
        <v>1</v>
      </c>
      <c r="F3" s="1">
        <v>1</v>
      </c>
      <c r="G3" s="1">
        <v>2</v>
      </c>
      <c r="H3" s="1">
        <v>0</v>
      </c>
      <c r="I3" s="1">
        <v>0</v>
      </c>
      <c r="J3" s="1">
        <v>1</v>
      </c>
      <c r="K3" s="1">
        <v>0</v>
      </c>
      <c r="L3" s="1">
        <v>1</v>
      </c>
      <c r="M3" s="1">
        <v>1</v>
      </c>
      <c r="N3" s="1">
        <v>1</v>
      </c>
      <c r="O3" s="1">
        <v>1</v>
      </c>
      <c r="P3" s="1">
        <v>2</v>
      </c>
      <c r="Q3" s="1">
        <v>1</v>
      </c>
    </row>
    <row r="4" spans="1:30" x14ac:dyDescent="0.25">
      <c r="A4" s="27"/>
      <c r="B4" s="2" t="s">
        <v>5</v>
      </c>
      <c r="C4" s="1">
        <v>0</v>
      </c>
      <c r="D4" s="1">
        <v>1</v>
      </c>
      <c r="E4" s="1">
        <v>1</v>
      </c>
      <c r="F4" s="1">
        <v>1</v>
      </c>
      <c r="G4" s="1">
        <v>1</v>
      </c>
      <c r="H4" s="1">
        <v>2</v>
      </c>
      <c r="I4" s="1">
        <v>2</v>
      </c>
      <c r="J4" s="1">
        <v>2</v>
      </c>
      <c r="K4" s="1">
        <v>3</v>
      </c>
      <c r="L4" s="1">
        <v>3</v>
      </c>
      <c r="M4" s="1">
        <v>3</v>
      </c>
      <c r="N4" s="1">
        <v>4</v>
      </c>
      <c r="O4" s="1">
        <v>4</v>
      </c>
      <c r="P4" s="1">
        <v>5</v>
      </c>
      <c r="Q4" s="1">
        <v>7</v>
      </c>
    </row>
    <row r="5" spans="1:30" x14ac:dyDescent="0.25">
      <c r="A5" s="27"/>
      <c r="B5" s="2" t="s">
        <v>6</v>
      </c>
      <c r="C5" s="1">
        <v>11</v>
      </c>
      <c r="D5" s="1">
        <f>C5+11</f>
        <v>22</v>
      </c>
      <c r="E5" s="1">
        <f t="shared" ref="E5:Q5" si="0">D5+11</f>
        <v>33</v>
      </c>
      <c r="F5" s="1">
        <f t="shared" si="0"/>
        <v>44</v>
      </c>
      <c r="G5" s="1">
        <f t="shared" si="0"/>
        <v>55</v>
      </c>
      <c r="H5" s="1">
        <f t="shared" si="0"/>
        <v>66</v>
      </c>
      <c r="I5" s="1">
        <f t="shared" si="0"/>
        <v>77</v>
      </c>
      <c r="J5" s="1">
        <f t="shared" si="0"/>
        <v>88</v>
      </c>
      <c r="K5" s="1">
        <f t="shared" si="0"/>
        <v>99</v>
      </c>
      <c r="L5" s="1">
        <f t="shared" si="0"/>
        <v>110</v>
      </c>
      <c r="M5" s="1">
        <f t="shared" si="0"/>
        <v>121</v>
      </c>
      <c r="N5" s="1">
        <f t="shared" si="0"/>
        <v>132</v>
      </c>
      <c r="O5" s="1">
        <f t="shared" si="0"/>
        <v>143</v>
      </c>
      <c r="P5" s="1">
        <f t="shared" si="0"/>
        <v>154</v>
      </c>
      <c r="Q5" s="1">
        <f t="shared" si="0"/>
        <v>165</v>
      </c>
    </row>
    <row r="6" spans="1:30" x14ac:dyDescent="0.25">
      <c r="A6" s="27"/>
      <c r="B6" s="1" t="s">
        <v>7</v>
      </c>
      <c r="C6" s="1">
        <v>12</v>
      </c>
      <c r="D6" s="1">
        <v>51</v>
      </c>
      <c r="E6" s="1">
        <v>51</v>
      </c>
      <c r="F6" s="1">
        <v>51</v>
      </c>
      <c r="G6" s="1">
        <v>56</v>
      </c>
      <c r="H6" s="1">
        <v>51</v>
      </c>
      <c r="I6" s="1">
        <v>78</v>
      </c>
      <c r="J6" s="1">
        <v>96</v>
      </c>
      <c r="K6" s="1">
        <v>105</v>
      </c>
      <c r="L6" s="9">
        <v>128</v>
      </c>
      <c r="M6" s="1">
        <v>128</v>
      </c>
      <c r="N6" s="1">
        <v>145</v>
      </c>
      <c r="O6" s="1">
        <v>143</v>
      </c>
      <c r="P6" s="1">
        <v>155</v>
      </c>
      <c r="Q6" s="9">
        <v>166</v>
      </c>
    </row>
    <row r="7" spans="1:30" x14ac:dyDescent="0.25">
      <c r="A7" s="27"/>
      <c r="B7" s="1" t="s">
        <v>8</v>
      </c>
      <c r="C7" s="1">
        <v>0.61170000000000002</v>
      </c>
      <c r="D7" s="1">
        <v>1.0617000000000001</v>
      </c>
      <c r="E7" s="1">
        <v>1.0617000000000001</v>
      </c>
      <c r="F7" s="1">
        <v>1.0617000000000001</v>
      </c>
      <c r="G7" s="1">
        <v>1.3675999999999999</v>
      </c>
      <c r="H7" s="1">
        <v>1.5117</v>
      </c>
      <c r="I7" s="1">
        <v>1.5117</v>
      </c>
      <c r="J7" s="1">
        <v>1.8176000000000001</v>
      </c>
      <c r="K7" s="1">
        <v>2.2675999999999998</v>
      </c>
      <c r="L7" s="1">
        <v>2.5735000000000001</v>
      </c>
      <c r="M7" s="1">
        <v>2.5735000000000001</v>
      </c>
      <c r="N7" s="1">
        <v>3.3294000000000001</v>
      </c>
      <c r="O7" s="1">
        <v>3.3294000000000001</v>
      </c>
      <c r="P7" s="1">
        <v>4.3912000000000004</v>
      </c>
      <c r="Q7" s="1">
        <v>5.5971000000000002</v>
      </c>
      <c r="AD7" s="4"/>
    </row>
    <row r="8" spans="1:30" x14ac:dyDescent="0.25">
      <c r="A8" s="27"/>
      <c r="B8" s="1" t="s">
        <v>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30" x14ac:dyDescent="0.25">
      <c r="A9" s="27"/>
      <c r="B9" s="1" t="s">
        <v>13</v>
      </c>
      <c r="C9" s="21">
        <v>14579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30" x14ac:dyDescent="0.25">
      <c r="A10" s="27"/>
      <c r="B10" s="1" t="s">
        <v>10</v>
      </c>
      <c r="C10" s="21">
        <v>20952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30" x14ac:dyDescent="0.25">
      <c r="A11" s="27"/>
      <c r="B11" s="1" t="s">
        <v>11</v>
      </c>
      <c r="C11" s="21">
        <v>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30" x14ac:dyDescent="0.25">
      <c r="A12" s="27"/>
      <c r="B12" s="1" t="s">
        <v>12</v>
      </c>
      <c r="C12" s="21">
        <v>14603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30" x14ac:dyDescent="0.25">
      <c r="A13" s="27"/>
      <c r="B13" s="1" t="s">
        <v>14</v>
      </c>
      <c r="C13" s="21">
        <v>14603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S13" s="1" t="s">
        <v>17</v>
      </c>
      <c r="T13" s="1" t="s">
        <v>18</v>
      </c>
      <c r="U13" s="1" t="s">
        <v>19</v>
      </c>
    </row>
    <row r="14" spans="1:30" x14ac:dyDescent="0.25">
      <c r="A14" s="27"/>
      <c r="B14" s="1" t="s">
        <v>15</v>
      </c>
      <c r="C14" s="1">
        <v>0.31359999999999999</v>
      </c>
      <c r="D14" s="1">
        <v>0.6734</v>
      </c>
      <c r="E14" s="1">
        <v>0.39860000000000001</v>
      </c>
      <c r="F14" s="1">
        <v>0.74399999999999999</v>
      </c>
      <c r="G14" s="1">
        <v>2.0602</v>
      </c>
      <c r="H14" s="1">
        <v>2.2128000000000001</v>
      </c>
      <c r="I14" s="1">
        <v>0.87880000000000003</v>
      </c>
      <c r="J14" s="1">
        <v>2.2155</v>
      </c>
      <c r="K14" s="1">
        <v>3.1385999999999998</v>
      </c>
      <c r="L14" s="1">
        <v>5.4699</v>
      </c>
      <c r="M14" s="1">
        <v>2.0659000000000001</v>
      </c>
      <c r="N14" s="1">
        <v>3.8306</v>
      </c>
      <c r="O14" s="1">
        <v>1.0036</v>
      </c>
      <c r="P14" s="1">
        <v>2.1968000000000001</v>
      </c>
      <c r="Q14" s="1">
        <v>1.4715</v>
      </c>
      <c r="S14" s="1">
        <f>SUM(C14:Q14)</f>
        <v>28.673799999999996</v>
      </c>
      <c r="T14" s="1">
        <f>ROUND(S14/60,2)</f>
        <v>0.48</v>
      </c>
      <c r="U14" s="1">
        <f>ROUND(T14/60,2)</f>
        <v>0.01</v>
      </c>
    </row>
    <row r="15" spans="1:30" x14ac:dyDescent="0.25">
      <c r="A15" s="28"/>
      <c r="B15" s="1" t="s">
        <v>16</v>
      </c>
      <c r="C15" s="1">
        <v>2.2473000000000001</v>
      </c>
      <c r="D15" s="1">
        <v>2.2271000000000001</v>
      </c>
      <c r="E15" s="1">
        <v>1.9258999999999999</v>
      </c>
      <c r="F15" s="1">
        <v>2.3167</v>
      </c>
      <c r="G15" s="1">
        <v>3.6019000000000001</v>
      </c>
      <c r="H15" s="1">
        <v>3.7605</v>
      </c>
      <c r="I15" s="1">
        <v>2.4217</v>
      </c>
      <c r="J15" s="1">
        <v>3.7703000000000002</v>
      </c>
      <c r="K15" s="1">
        <v>4.6654999999999998</v>
      </c>
      <c r="L15" s="1">
        <v>7.0328999999999997</v>
      </c>
      <c r="M15" s="1">
        <v>3.5569000000000002</v>
      </c>
      <c r="N15" s="1">
        <v>5.3640999999999996</v>
      </c>
      <c r="O15" s="1">
        <v>2.4771999999999998</v>
      </c>
      <c r="P15" s="1">
        <v>3.7484000000000002</v>
      </c>
      <c r="Q15" s="1">
        <v>3.0034999999999998</v>
      </c>
      <c r="S15" s="1">
        <f>SUM(C15:Q15)</f>
        <v>52.119900000000001</v>
      </c>
      <c r="T15" s="1">
        <f>ROUND(S15/60,2)</f>
        <v>0.87</v>
      </c>
      <c r="U15" s="1">
        <f>ROUND(T15/60,2)</f>
        <v>0.01</v>
      </c>
    </row>
    <row r="16" spans="1:30" x14ac:dyDescent="0.25">
      <c r="A16" s="22">
        <v>0.2</v>
      </c>
      <c r="B16" s="2" t="s">
        <v>3</v>
      </c>
      <c r="C16" s="21">
        <v>45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21" x14ac:dyDescent="0.25">
      <c r="A17" s="22"/>
      <c r="B17" s="2" t="s">
        <v>4</v>
      </c>
      <c r="C17" s="1">
        <v>3</v>
      </c>
      <c r="D17" s="1">
        <v>2</v>
      </c>
      <c r="E17" s="1">
        <v>2</v>
      </c>
      <c r="F17" s="1">
        <v>2</v>
      </c>
      <c r="G17" s="1">
        <v>1</v>
      </c>
      <c r="H17" s="1">
        <v>1</v>
      </c>
      <c r="I17" s="1">
        <v>0</v>
      </c>
      <c r="J17" s="1">
        <v>1</v>
      </c>
      <c r="K17" s="1">
        <v>1</v>
      </c>
      <c r="L17" s="1">
        <v>1</v>
      </c>
      <c r="M17" s="1">
        <v>2</v>
      </c>
      <c r="N17" s="1">
        <v>2</v>
      </c>
      <c r="O17" s="1">
        <v>1</v>
      </c>
      <c r="P17" s="1">
        <v>2</v>
      </c>
      <c r="Q17" s="1">
        <v>2</v>
      </c>
    </row>
    <row r="18" spans="1:21" x14ac:dyDescent="0.25">
      <c r="A18" s="22"/>
      <c r="B18" s="2" t="s">
        <v>5</v>
      </c>
      <c r="C18" s="1">
        <v>0</v>
      </c>
      <c r="D18" s="1">
        <v>1</v>
      </c>
      <c r="E18" s="1">
        <v>1</v>
      </c>
      <c r="F18" s="1">
        <v>1</v>
      </c>
      <c r="G18" s="1">
        <v>2</v>
      </c>
      <c r="H18" s="1">
        <v>2</v>
      </c>
      <c r="I18" s="1">
        <v>3</v>
      </c>
      <c r="J18" s="1">
        <v>3</v>
      </c>
      <c r="K18" s="1">
        <v>3</v>
      </c>
      <c r="L18" s="1">
        <v>4</v>
      </c>
      <c r="M18" s="1">
        <v>4</v>
      </c>
      <c r="N18" s="1">
        <v>5</v>
      </c>
      <c r="O18" s="1">
        <v>6</v>
      </c>
      <c r="P18" s="1">
        <v>7</v>
      </c>
      <c r="Q18" s="1">
        <v>8</v>
      </c>
    </row>
    <row r="19" spans="1:21" x14ac:dyDescent="0.25">
      <c r="A19" s="22"/>
      <c r="B19" s="2" t="s">
        <v>6</v>
      </c>
      <c r="C19" s="1">
        <v>14</v>
      </c>
      <c r="D19" s="1">
        <f>C19+14</f>
        <v>28</v>
      </c>
      <c r="E19" s="1">
        <f t="shared" ref="E19:Q19" si="1">D19+14</f>
        <v>42</v>
      </c>
      <c r="F19" s="1">
        <f t="shared" si="1"/>
        <v>56</v>
      </c>
      <c r="G19" s="1">
        <f t="shared" si="1"/>
        <v>70</v>
      </c>
      <c r="H19" s="1">
        <f t="shared" si="1"/>
        <v>84</v>
      </c>
      <c r="I19" s="1">
        <f t="shared" si="1"/>
        <v>98</v>
      </c>
      <c r="J19" s="1">
        <f t="shared" si="1"/>
        <v>112</v>
      </c>
      <c r="K19" s="1">
        <f t="shared" si="1"/>
        <v>126</v>
      </c>
      <c r="L19" s="1">
        <f t="shared" si="1"/>
        <v>140</v>
      </c>
      <c r="M19" s="1">
        <f t="shared" si="1"/>
        <v>154</v>
      </c>
      <c r="N19" s="1">
        <f t="shared" si="1"/>
        <v>168</v>
      </c>
      <c r="O19" s="1">
        <f t="shared" si="1"/>
        <v>182</v>
      </c>
      <c r="P19" s="1">
        <f t="shared" si="1"/>
        <v>196</v>
      </c>
      <c r="Q19" s="1">
        <f t="shared" si="1"/>
        <v>210</v>
      </c>
    </row>
    <row r="20" spans="1:21" x14ac:dyDescent="0.25">
      <c r="A20" s="22"/>
      <c r="B20" s="1" t="s">
        <v>7</v>
      </c>
      <c r="C20" s="1">
        <v>16</v>
      </c>
      <c r="D20" s="1">
        <v>51</v>
      </c>
      <c r="E20" s="1">
        <v>52</v>
      </c>
      <c r="F20" s="1">
        <v>56</v>
      </c>
      <c r="G20" s="1">
        <v>86</v>
      </c>
      <c r="H20" s="1">
        <v>90</v>
      </c>
      <c r="I20" s="1">
        <v>98</v>
      </c>
      <c r="J20" s="1">
        <v>112</v>
      </c>
      <c r="K20" s="1">
        <v>126</v>
      </c>
      <c r="L20" s="1">
        <v>140</v>
      </c>
      <c r="M20" s="1">
        <v>156</v>
      </c>
      <c r="N20" s="1">
        <v>171</v>
      </c>
      <c r="O20" s="1">
        <v>182</v>
      </c>
      <c r="P20" s="1">
        <v>201</v>
      </c>
      <c r="Q20" s="1">
        <v>211</v>
      </c>
    </row>
    <row r="21" spans="1:21" x14ac:dyDescent="0.25">
      <c r="A21" s="22"/>
      <c r="B21" s="1" t="s">
        <v>8</v>
      </c>
      <c r="C21" s="1">
        <v>0.91759999999999997</v>
      </c>
      <c r="D21" s="1">
        <v>1.3675999999999999</v>
      </c>
      <c r="E21" s="1">
        <v>1.3675999999999999</v>
      </c>
      <c r="F21" s="1">
        <v>1.3675999999999999</v>
      </c>
      <c r="G21" s="1">
        <v>1.8176000000000001</v>
      </c>
      <c r="H21" s="1">
        <v>1.8176000000000001</v>
      </c>
      <c r="I21" s="1">
        <v>2.2675999999999998</v>
      </c>
      <c r="J21" s="1">
        <v>2.5735000000000001</v>
      </c>
      <c r="K21" s="1">
        <v>2.5735000000000001</v>
      </c>
      <c r="L21" s="1">
        <v>3.3294000000000001</v>
      </c>
      <c r="M21" s="1">
        <v>3.6353</v>
      </c>
      <c r="N21" s="1">
        <v>4.3912000000000004</v>
      </c>
      <c r="O21" s="1">
        <v>4.8411999999999997</v>
      </c>
      <c r="P21" s="1">
        <v>5.9029999999999996</v>
      </c>
      <c r="Q21" s="1">
        <v>6.6589</v>
      </c>
    </row>
    <row r="22" spans="1:21" x14ac:dyDescent="0.25">
      <c r="A22" s="22"/>
      <c r="B22" s="1" t="s">
        <v>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21" x14ac:dyDescent="0.25">
      <c r="A23" s="22"/>
      <c r="B23" s="1" t="s">
        <v>13</v>
      </c>
      <c r="C23" s="21">
        <v>37395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21" x14ac:dyDescent="0.25">
      <c r="A24" s="22"/>
      <c r="B24" s="1" t="s">
        <v>10</v>
      </c>
      <c r="C24" s="21">
        <v>62375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21" x14ac:dyDescent="0.25">
      <c r="A25" s="22"/>
      <c r="B25" s="1" t="s">
        <v>11</v>
      </c>
      <c r="C25" s="21">
        <v>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21" x14ac:dyDescent="0.25">
      <c r="A26" s="22"/>
      <c r="B26" s="1" t="s">
        <v>12</v>
      </c>
      <c r="C26" s="21">
        <v>37442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21" x14ac:dyDescent="0.25">
      <c r="A27" s="22"/>
      <c r="B27" s="1" t="s">
        <v>14</v>
      </c>
      <c r="C27" s="21">
        <v>37442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S27" s="1" t="s">
        <v>17</v>
      </c>
      <c r="T27" s="1" t="s">
        <v>18</v>
      </c>
      <c r="U27" s="1" t="s">
        <v>19</v>
      </c>
    </row>
    <row r="28" spans="1:21" x14ac:dyDescent="0.25">
      <c r="A28" s="22"/>
      <c r="B28" s="1" t="s">
        <v>15</v>
      </c>
      <c r="C28" s="1">
        <v>1.6254</v>
      </c>
      <c r="D28" s="1">
        <v>3.4077000000000002</v>
      </c>
      <c r="E28" s="1">
        <v>1.7755000000000001</v>
      </c>
      <c r="F28" s="1">
        <v>1.3015000000000001</v>
      </c>
      <c r="G28" s="1">
        <v>17.6646</v>
      </c>
      <c r="H28" s="1">
        <v>1.845</v>
      </c>
      <c r="I28" s="1">
        <v>20.074200000000001</v>
      </c>
      <c r="J28" s="1">
        <v>29.638100000000001</v>
      </c>
      <c r="K28" s="1">
        <v>13.1745</v>
      </c>
      <c r="L28" s="1">
        <v>82.100200000000001</v>
      </c>
      <c r="M28" s="1">
        <v>64.795400000000001</v>
      </c>
      <c r="N28" s="1">
        <v>149.72389999999999</v>
      </c>
      <c r="O28" s="1">
        <v>139.07089999999999</v>
      </c>
      <c r="P28" s="1">
        <v>611.12630000000001</v>
      </c>
      <c r="Q28" s="1">
        <v>307.52789999999999</v>
      </c>
      <c r="S28" s="1">
        <f>SUM(C28:Q28)</f>
        <v>1444.8510999999999</v>
      </c>
      <c r="T28" s="1">
        <f>ROUND(S28/60,2)</f>
        <v>24.08</v>
      </c>
      <c r="U28" s="1">
        <f>ROUND(T28/60,2)</f>
        <v>0.4</v>
      </c>
    </row>
    <row r="29" spans="1:21" x14ac:dyDescent="0.25">
      <c r="A29" s="22"/>
      <c r="B29" s="1" t="s">
        <v>16</v>
      </c>
      <c r="C29" s="1">
        <v>6.1813000000000002</v>
      </c>
      <c r="D29" s="1">
        <v>7.9695</v>
      </c>
      <c r="E29" s="1">
        <v>6.2987000000000002</v>
      </c>
      <c r="F29" s="1">
        <v>5.8339999999999996</v>
      </c>
      <c r="G29" s="1">
        <v>22.164100000000001</v>
      </c>
      <c r="H29" s="1">
        <v>6.3935000000000004</v>
      </c>
      <c r="I29" s="1">
        <v>24.649100000000001</v>
      </c>
      <c r="J29" s="1">
        <v>34.285899999999998</v>
      </c>
      <c r="K29" s="1">
        <v>17.709199999999999</v>
      </c>
      <c r="L29" s="1">
        <v>86.758700000000005</v>
      </c>
      <c r="M29" s="1">
        <v>69.478399999999993</v>
      </c>
      <c r="N29" s="1">
        <v>154.69810000000001</v>
      </c>
      <c r="O29" s="1">
        <v>143.83330000000001</v>
      </c>
      <c r="P29" s="1">
        <v>616.24400000000003</v>
      </c>
      <c r="Q29" s="1">
        <v>312.46050000000002</v>
      </c>
      <c r="S29" s="1">
        <f>SUM(C29:Q29)</f>
        <v>1514.9583000000002</v>
      </c>
      <c r="T29" s="1">
        <f>ROUND(S29/60,2)</f>
        <v>25.25</v>
      </c>
      <c r="U29" s="1">
        <f>ROUND(T29/60,2)</f>
        <v>0.42</v>
      </c>
    </row>
    <row r="30" spans="1:21" x14ac:dyDescent="0.25">
      <c r="A30" s="26">
        <v>0.3</v>
      </c>
      <c r="B30" s="2" t="s">
        <v>3</v>
      </c>
      <c r="C30" s="21">
        <v>67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21" x14ac:dyDescent="0.25">
      <c r="A31" s="27"/>
      <c r="B31" s="2" t="s">
        <v>4</v>
      </c>
      <c r="C31" s="1">
        <v>4</v>
      </c>
      <c r="D31" s="1">
        <v>5</v>
      </c>
      <c r="E31" s="1">
        <v>3</v>
      </c>
      <c r="F31" s="1">
        <v>3</v>
      </c>
      <c r="G31" s="1">
        <v>4</v>
      </c>
      <c r="H31" s="1">
        <v>2</v>
      </c>
      <c r="I31" s="1">
        <v>2</v>
      </c>
      <c r="J31" s="1">
        <v>3</v>
      </c>
      <c r="K31" s="1">
        <v>1</v>
      </c>
      <c r="L31" s="1">
        <v>2</v>
      </c>
      <c r="M31" s="1">
        <v>1</v>
      </c>
      <c r="N31" s="1">
        <v>2</v>
      </c>
      <c r="O31" s="1">
        <v>1</v>
      </c>
      <c r="P31" s="1">
        <v>2</v>
      </c>
      <c r="Q31" s="1">
        <v>2</v>
      </c>
    </row>
    <row r="32" spans="1:21" x14ac:dyDescent="0.25">
      <c r="A32" s="27"/>
      <c r="B32" s="2" t="s">
        <v>5</v>
      </c>
      <c r="C32" s="1">
        <v>0</v>
      </c>
      <c r="D32" s="1">
        <v>0</v>
      </c>
      <c r="E32" s="1">
        <v>1</v>
      </c>
      <c r="F32" s="1">
        <v>1</v>
      </c>
      <c r="G32" s="1">
        <v>1</v>
      </c>
      <c r="H32" s="1">
        <v>2</v>
      </c>
      <c r="I32" s="1">
        <v>2</v>
      </c>
      <c r="J32" s="1">
        <v>2</v>
      </c>
      <c r="K32" s="1">
        <v>3</v>
      </c>
      <c r="L32" s="1">
        <v>3</v>
      </c>
      <c r="M32" s="1">
        <v>4</v>
      </c>
      <c r="N32" s="1">
        <v>4</v>
      </c>
      <c r="O32" s="1">
        <v>5</v>
      </c>
      <c r="P32" s="1">
        <v>5</v>
      </c>
      <c r="Q32" s="1">
        <v>6</v>
      </c>
    </row>
    <row r="33" spans="1:21" x14ac:dyDescent="0.25">
      <c r="A33" s="27"/>
      <c r="B33" s="2" t="s">
        <v>6</v>
      </c>
      <c r="C33" s="1">
        <v>13</v>
      </c>
      <c r="D33" s="1">
        <f>C33+13</f>
        <v>26</v>
      </c>
      <c r="E33" s="1">
        <f t="shared" ref="E33:Q33" si="2">D33+13</f>
        <v>39</v>
      </c>
      <c r="F33" s="1">
        <f t="shared" si="2"/>
        <v>52</v>
      </c>
      <c r="G33" s="1">
        <f t="shared" si="2"/>
        <v>65</v>
      </c>
      <c r="H33" s="1">
        <f t="shared" si="2"/>
        <v>78</v>
      </c>
      <c r="I33" s="1">
        <f t="shared" si="2"/>
        <v>91</v>
      </c>
      <c r="J33" s="1">
        <f t="shared" si="2"/>
        <v>104</v>
      </c>
      <c r="K33" s="1">
        <f t="shared" si="2"/>
        <v>117</v>
      </c>
      <c r="L33" s="1">
        <f t="shared" si="2"/>
        <v>130</v>
      </c>
      <c r="M33" s="1">
        <f t="shared" si="2"/>
        <v>143</v>
      </c>
      <c r="N33" s="1">
        <f t="shared" si="2"/>
        <v>156</v>
      </c>
      <c r="O33" s="1">
        <f t="shared" si="2"/>
        <v>169</v>
      </c>
      <c r="P33" s="1">
        <f t="shared" si="2"/>
        <v>182</v>
      </c>
      <c r="Q33" s="1">
        <f t="shared" si="2"/>
        <v>195</v>
      </c>
    </row>
    <row r="34" spans="1:21" x14ac:dyDescent="0.25">
      <c r="A34" s="27"/>
      <c r="B34" s="1" t="s">
        <v>7</v>
      </c>
      <c r="C34" s="1">
        <v>17</v>
      </c>
      <c r="D34" s="1">
        <v>28</v>
      </c>
      <c r="E34" s="1">
        <v>49</v>
      </c>
      <c r="F34" s="1">
        <v>55</v>
      </c>
      <c r="G34" s="1">
        <v>65</v>
      </c>
      <c r="H34" s="1">
        <v>93</v>
      </c>
      <c r="I34" s="1">
        <v>93</v>
      </c>
      <c r="J34" s="1">
        <v>105</v>
      </c>
      <c r="K34" s="1">
        <v>128</v>
      </c>
      <c r="L34" s="1">
        <v>134</v>
      </c>
      <c r="M34" s="1">
        <v>145</v>
      </c>
      <c r="N34" s="1">
        <v>162</v>
      </c>
      <c r="O34" s="1">
        <v>170</v>
      </c>
      <c r="P34" s="1">
        <v>185</v>
      </c>
      <c r="Q34" s="1">
        <v>195</v>
      </c>
    </row>
    <row r="35" spans="1:21" x14ac:dyDescent="0.25">
      <c r="A35" s="27"/>
      <c r="B35" s="1" t="s">
        <v>8</v>
      </c>
      <c r="C35" s="1">
        <v>1.2235</v>
      </c>
      <c r="D35" s="1">
        <v>1.5294000000000001</v>
      </c>
      <c r="E35" s="1">
        <v>1.6735</v>
      </c>
      <c r="F35" s="1">
        <v>1.6735</v>
      </c>
      <c r="G35" s="1">
        <v>1.9794</v>
      </c>
      <c r="H35" s="1">
        <v>2.1234999999999999</v>
      </c>
      <c r="I35" s="1">
        <v>2.1234999999999999</v>
      </c>
      <c r="J35" s="1">
        <v>2.4293999999999998</v>
      </c>
      <c r="K35" s="1">
        <v>2.5735000000000001</v>
      </c>
      <c r="L35" s="1">
        <v>2.8794</v>
      </c>
      <c r="M35" s="1">
        <v>3.3294000000000001</v>
      </c>
      <c r="N35" s="1">
        <v>3.6353</v>
      </c>
      <c r="O35" s="1">
        <v>4.0853000000000002</v>
      </c>
      <c r="P35" s="1">
        <v>4.3912000000000004</v>
      </c>
      <c r="Q35" s="1">
        <v>5.1471</v>
      </c>
    </row>
    <row r="36" spans="1:21" x14ac:dyDescent="0.25">
      <c r="A36" s="27"/>
      <c r="B36" s="1" t="s">
        <v>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21" x14ac:dyDescent="0.25">
      <c r="A37" s="27"/>
      <c r="B37" s="1" t="s">
        <v>13</v>
      </c>
      <c r="C37" s="21">
        <v>67139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21" x14ac:dyDescent="0.25">
      <c r="A38" s="27"/>
      <c r="B38" s="1" t="s">
        <v>10</v>
      </c>
      <c r="C38" s="21">
        <v>121797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21" x14ac:dyDescent="0.25">
      <c r="A39" s="27"/>
      <c r="B39" s="1" t="s">
        <v>11</v>
      </c>
      <c r="C39" s="21">
        <v>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21" x14ac:dyDescent="0.25">
      <c r="A40" s="27"/>
      <c r="B40" s="1" t="s">
        <v>12</v>
      </c>
      <c r="C40" s="21">
        <v>67208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21" x14ac:dyDescent="0.25">
      <c r="A41" s="27"/>
      <c r="B41" s="1" t="s">
        <v>14</v>
      </c>
      <c r="C41" s="21">
        <v>67208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S41" s="1" t="s">
        <v>17</v>
      </c>
      <c r="T41" s="1" t="s">
        <v>18</v>
      </c>
      <c r="U41" s="1" t="s">
        <v>19</v>
      </c>
    </row>
    <row r="42" spans="1:21" x14ac:dyDescent="0.25">
      <c r="A42" s="27"/>
      <c r="B42" s="1" t="s">
        <v>15</v>
      </c>
      <c r="C42" s="1">
        <v>2.5621999999999998</v>
      </c>
      <c r="D42" s="1">
        <v>12.9368</v>
      </c>
      <c r="E42" s="1">
        <v>7.7201000000000004</v>
      </c>
      <c r="F42" s="1">
        <v>2.8915000000000002</v>
      </c>
      <c r="G42" s="1">
        <v>708.71</v>
      </c>
      <c r="H42" s="1">
        <v>61.571100000000001</v>
      </c>
      <c r="I42" s="1">
        <v>4.9512</v>
      </c>
      <c r="J42" s="1">
        <v>730.56</v>
      </c>
      <c r="K42" s="1">
        <v>72.489999999999995</v>
      </c>
      <c r="L42" s="1">
        <v>212.95</v>
      </c>
      <c r="M42" s="1">
        <v>551.24</v>
      </c>
      <c r="N42" s="1">
        <v>420.41</v>
      </c>
      <c r="O42" s="1">
        <v>553.19000000000005</v>
      </c>
      <c r="P42" s="1">
        <v>201.18</v>
      </c>
      <c r="Q42" s="1">
        <v>323.7</v>
      </c>
      <c r="S42" s="1">
        <f>SUM(C42:Q42)</f>
        <v>3867.0628999999999</v>
      </c>
      <c r="T42" s="1">
        <f>ROUND(S42/60,2)</f>
        <v>64.45</v>
      </c>
      <c r="U42" s="1">
        <f>ROUND(T42/60,2)</f>
        <v>1.07</v>
      </c>
    </row>
    <row r="43" spans="1:21" x14ac:dyDescent="0.25">
      <c r="A43" s="28"/>
      <c r="B43" s="1" t="s">
        <v>16</v>
      </c>
      <c r="C43" s="1">
        <v>12.1721</v>
      </c>
      <c r="D43" s="1">
        <v>22.978300000000001</v>
      </c>
      <c r="E43" s="1">
        <v>16.775400000000001</v>
      </c>
      <c r="F43" s="1">
        <v>11.5159</v>
      </c>
      <c r="G43" s="1">
        <v>717.05</v>
      </c>
      <c r="H43" s="1">
        <v>70.042199999999994</v>
      </c>
      <c r="I43" s="1">
        <v>13.3109</v>
      </c>
      <c r="J43" s="1">
        <v>739.04</v>
      </c>
      <c r="K43" s="1">
        <v>82</v>
      </c>
      <c r="L43" s="1">
        <v>221.44</v>
      </c>
      <c r="M43" s="1">
        <v>560.20000000000005</v>
      </c>
      <c r="N43" s="1">
        <v>428.93</v>
      </c>
      <c r="O43" s="1">
        <v>562.20000000000005</v>
      </c>
      <c r="P43" s="1">
        <v>210.25</v>
      </c>
      <c r="Q43" s="1">
        <v>332.72</v>
      </c>
      <c r="S43" s="1">
        <f>SUM(C43:Q43)</f>
        <v>4000.6248000000005</v>
      </c>
      <c r="T43" s="1">
        <f>ROUND(S43/60,2)</f>
        <v>66.680000000000007</v>
      </c>
      <c r="U43" s="1">
        <f>ROUND(T43/60,2)</f>
        <v>1.1100000000000001</v>
      </c>
    </row>
    <row r="44" spans="1:21" x14ac:dyDescent="0.25">
      <c r="A44" s="22">
        <v>0.4</v>
      </c>
      <c r="B44" s="2" t="s">
        <v>3</v>
      </c>
      <c r="C44" s="21">
        <v>90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21" x14ac:dyDescent="0.25">
      <c r="A45" s="22"/>
      <c r="B45" s="2" t="s">
        <v>4</v>
      </c>
      <c r="C45" s="1">
        <v>5</v>
      </c>
      <c r="D45" s="1">
        <v>5</v>
      </c>
      <c r="E45" s="1">
        <v>4</v>
      </c>
      <c r="F45" s="1">
        <v>4</v>
      </c>
      <c r="G45" s="9">
        <v>5</v>
      </c>
      <c r="H45" s="1">
        <v>3</v>
      </c>
      <c r="I45" s="1">
        <v>3</v>
      </c>
      <c r="J45" s="1">
        <v>2</v>
      </c>
      <c r="K45" s="1">
        <v>2</v>
      </c>
      <c r="L45" s="1">
        <v>3</v>
      </c>
      <c r="M45" s="1">
        <v>1</v>
      </c>
      <c r="N45" s="1">
        <v>1</v>
      </c>
      <c r="O45" s="1">
        <v>3</v>
      </c>
      <c r="P45" s="1">
        <v>2</v>
      </c>
      <c r="Q45" s="1">
        <v>1</v>
      </c>
    </row>
    <row r="46" spans="1:21" x14ac:dyDescent="0.25">
      <c r="A46" s="22"/>
      <c r="B46" s="2" t="s">
        <v>5</v>
      </c>
      <c r="C46" s="1">
        <v>0</v>
      </c>
      <c r="D46" s="1">
        <v>0</v>
      </c>
      <c r="E46" s="1">
        <v>1</v>
      </c>
      <c r="F46" s="1">
        <v>1</v>
      </c>
      <c r="G46" s="9">
        <v>1</v>
      </c>
      <c r="H46" s="1">
        <v>2</v>
      </c>
      <c r="I46" s="1">
        <v>2</v>
      </c>
      <c r="J46" s="1">
        <v>3</v>
      </c>
      <c r="K46" s="1">
        <v>3</v>
      </c>
      <c r="L46" s="1">
        <v>3</v>
      </c>
      <c r="M46" s="1">
        <v>4</v>
      </c>
      <c r="N46" s="1">
        <v>5</v>
      </c>
      <c r="O46" s="1">
        <v>5</v>
      </c>
      <c r="P46" s="1">
        <v>6</v>
      </c>
      <c r="Q46" s="1">
        <v>8</v>
      </c>
    </row>
    <row r="47" spans="1:21" x14ac:dyDescent="0.25">
      <c r="A47" s="22"/>
      <c r="B47" s="2" t="s">
        <v>6</v>
      </c>
      <c r="C47" s="1">
        <v>14</v>
      </c>
      <c r="D47" s="1">
        <f>C47+14</f>
        <v>28</v>
      </c>
      <c r="E47" s="1">
        <f t="shared" ref="E47:Q47" si="3">D47+14</f>
        <v>42</v>
      </c>
      <c r="F47" s="1">
        <f t="shared" si="3"/>
        <v>56</v>
      </c>
      <c r="G47" s="1">
        <f t="shared" si="3"/>
        <v>70</v>
      </c>
      <c r="H47" s="1">
        <f t="shared" si="3"/>
        <v>84</v>
      </c>
      <c r="I47" s="1">
        <f t="shared" si="3"/>
        <v>98</v>
      </c>
      <c r="J47" s="1">
        <f t="shared" si="3"/>
        <v>112</v>
      </c>
      <c r="K47" s="1">
        <f t="shared" si="3"/>
        <v>126</v>
      </c>
      <c r="L47" s="1">
        <f t="shared" si="3"/>
        <v>140</v>
      </c>
      <c r="M47" s="1">
        <f t="shared" si="3"/>
        <v>154</v>
      </c>
      <c r="N47" s="1">
        <f t="shared" si="3"/>
        <v>168</v>
      </c>
      <c r="O47" s="1">
        <f t="shared" si="3"/>
        <v>182</v>
      </c>
      <c r="P47" s="1">
        <f t="shared" si="3"/>
        <v>196</v>
      </c>
      <c r="Q47" s="1">
        <f t="shared" si="3"/>
        <v>210</v>
      </c>
    </row>
    <row r="48" spans="1:21" x14ac:dyDescent="0.25">
      <c r="A48" s="22"/>
      <c r="B48" s="1" t="s">
        <v>7</v>
      </c>
      <c r="C48" s="9">
        <v>23</v>
      </c>
      <c r="D48" s="9">
        <v>28</v>
      </c>
      <c r="E48" s="9">
        <v>43</v>
      </c>
      <c r="F48" s="9">
        <v>56</v>
      </c>
      <c r="G48" s="9">
        <v>71</v>
      </c>
      <c r="H48" s="9">
        <v>89</v>
      </c>
      <c r="I48" s="9">
        <v>98</v>
      </c>
      <c r="J48" s="9">
        <v>112</v>
      </c>
      <c r="K48" s="9">
        <v>127</v>
      </c>
      <c r="L48" s="9">
        <v>140</v>
      </c>
      <c r="M48" s="9">
        <v>155</v>
      </c>
      <c r="N48" s="9">
        <v>171</v>
      </c>
      <c r="O48" s="9">
        <v>183</v>
      </c>
      <c r="P48" s="9">
        <v>196</v>
      </c>
      <c r="Q48" s="9">
        <v>211</v>
      </c>
    </row>
    <row r="49" spans="1:21" x14ac:dyDescent="0.25">
      <c r="A49" s="22"/>
      <c r="B49" s="1" t="s">
        <v>8</v>
      </c>
      <c r="C49" s="9">
        <v>1.5294000000000001</v>
      </c>
      <c r="D49" s="9">
        <v>1.5294000000000001</v>
      </c>
      <c r="E49" s="9">
        <v>1.9794</v>
      </c>
      <c r="F49" s="9">
        <v>1.9794</v>
      </c>
      <c r="G49" s="9">
        <v>2.2852999999999999</v>
      </c>
      <c r="H49" s="9">
        <v>2.4293999999999998</v>
      </c>
      <c r="I49" s="9">
        <v>2.4293999999999998</v>
      </c>
      <c r="J49" s="9">
        <v>2.8794</v>
      </c>
      <c r="K49" s="9">
        <v>2.8794</v>
      </c>
      <c r="L49" s="9">
        <v>3.1852999999999998</v>
      </c>
      <c r="M49" s="9">
        <v>3.3294000000000001</v>
      </c>
      <c r="N49" s="9">
        <v>4.0853000000000002</v>
      </c>
      <c r="O49" s="9">
        <v>4.6970999999999998</v>
      </c>
      <c r="P49" s="9">
        <v>5.1471</v>
      </c>
      <c r="Q49" s="9">
        <v>6.3529999999999998</v>
      </c>
    </row>
    <row r="50" spans="1:21" x14ac:dyDescent="0.25">
      <c r="A50" s="22"/>
      <c r="B50" s="1" t="s">
        <v>9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9">
        <v>0</v>
      </c>
      <c r="N50" s="9">
        <v>0</v>
      </c>
      <c r="O50" s="9">
        <v>0.1</v>
      </c>
      <c r="P50" s="9">
        <v>0.09</v>
      </c>
      <c r="Q50" s="9">
        <v>7.8700000000000006E-2</v>
      </c>
    </row>
    <row r="51" spans="1:21" x14ac:dyDescent="0.25">
      <c r="A51" s="22"/>
      <c r="B51" s="1" t="s">
        <v>13</v>
      </c>
      <c r="C51" s="29">
        <v>106515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spans="1:21" x14ac:dyDescent="0.25">
      <c r="A52" s="22"/>
      <c r="B52" s="1" t="s">
        <v>10</v>
      </c>
      <c r="C52" s="29">
        <v>204620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spans="1:21" x14ac:dyDescent="0.25">
      <c r="A53" s="22"/>
      <c r="B53" s="1" t="s">
        <v>11</v>
      </c>
      <c r="C53" s="29">
        <v>0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spans="1:21" x14ac:dyDescent="0.25">
      <c r="A54" s="22"/>
      <c r="B54" s="1" t="s">
        <v>12</v>
      </c>
      <c r="C54" s="29">
        <v>106607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</row>
    <row r="55" spans="1:21" x14ac:dyDescent="0.25">
      <c r="A55" s="22"/>
      <c r="B55" s="1" t="s">
        <v>14</v>
      </c>
      <c r="C55" s="29">
        <v>106607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S55" s="1" t="s">
        <v>17</v>
      </c>
      <c r="T55" s="1" t="s">
        <v>18</v>
      </c>
      <c r="U55" s="1" t="s">
        <v>19</v>
      </c>
    </row>
    <row r="56" spans="1:21" x14ac:dyDescent="0.25">
      <c r="A56" s="22"/>
      <c r="B56" s="1" t="s">
        <v>15</v>
      </c>
      <c r="C56" s="9">
        <v>8.09</v>
      </c>
      <c r="D56" s="9">
        <v>10.62</v>
      </c>
      <c r="E56" s="9">
        <v>38.1</v>
      </c>
      <c r="F56" s="9">
        <v>6.93</v>
      </c>
      <c r="G56" s="9">
        <v>10560</v>
      </c>
      <c r="H56" s="9">
        <v>2661.91</v>
      </c>
      <c r="I56" s="9">
        <v>14.5</v>
      </c>
      <c r="J56" s="9">
        <v>10646.97</v>
      </c>
      <c r="K56" s="9">
        <v>469.98</v>
      </c>
      <c r="L56" s="9">
        <v>3778.35</v>
      </c>
      <c r="M56" s="9">
        <v>1032.23</v>
      </c>
      <c r="N56" s="9">
        <v>11274.7</v>
      </c>
      <c r="O56" s="9">
        <v>12502.04</v>
      </c>
      <c r="P56" s="9">
        <v>12565.01</v>
      </c>
      <c r="Q56" s="9">
        <v>29844.23</v>
      </c>
      <c r="S56" s="1">
        <f>SUM(C56:Q56)</f>
        <v>95413.659999999989</v>
      </c>
      <c r="T56" s="1">
        <f>ROUND(S56/60,2)</f>
        <v>1590.23</v>
      </c>
      <c r="U56" s="1">
        <f>ROUND(T56/60,2)</f>
        <v>26.5</v>
      </c>
    </row>
    <row r="57" spans="1:21" x14ac:dyDescent="0.25">
      <c r="A57" s="22"/>
      <c r="B57" s="1" t="s">
        <v>16</v>
      </c>
      <c r="C57" s="9">
        <v>23.5</v>
      </c>
      <c r="D57" s="9">
        <v>25.09</v>
      </c>
      <c r="E57" s="9">
        <v>52.63</v>
      </c>
      <c r="F57" s="9">
        <v>21.52</v>
      </c>
      <c r="G57" s="9">
        <v>10576.24</v>
      </c>
      <c r="H57" s="9">
        <v>2679.08</v>
      </c>
      <c r="I57" s="9">
        <v>29.96</v>
      </c>
      <c r="J57" s="9">
        <v>10662.25</v>
      </c>
      <c r="K57" s="9">
        <v>485.41</v>
      </c>
      <c r="L57" s="9">
        <v>3794.85</v>
      </c>
      <c r="M57" s="9">
        <v>1048.6500000000001</v>
      </c>
      <c r="N57" s="9">
        <v>11291.04</v>
      </c>
      <c r="O57" s="9">
        <v>12517.2</v>
      </c>
      <c r="P57" s="9">
        <v>12581.82</v>
      </c>
      <c r="Q57" s="9">
        <v>29860.49</v>
      </c>
      <c r="S57" s="1">
        <f>SUM(C57:Q57)</f>
        <v>95649.73</v>
      </c>
      <c r="T57" s="1">
        <f>ROUND(S57/60,2)</f>
        <v>1594.16</v>
      </c>
      <c r="U57" s="1">
        <f>ROUND(T57/60,2)</f>
        <v>26.57</v>
      </c>
    </row>
    <row r="58" spans="1:21" x14ac:dyDescent="0.25">
      <c r="A58" s="22">
        <v>0.5</v>
      </c>
      <c r="B58" s="2" t="s">
        <v>3</v>
      </c>
      <c r="C58" s="21">
        <v>112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21" x14ac:dyDescent="0.25">
      <c r="A59" s="22"/>
      <c r="B59" s="2" t="s">
        <v>4</v>
      </c>
      <c r="C59" s="1">
        <v>6</v>
      </c>
      <c r="D59" s="1">
        <v>6</v>
      </c>
      <c r="E59" s="1">
        <v>5</v>
      </c>
      <c r="F59" s="1">
        <v>5</v>
      </c>
      <c r="G59" s="7">
        <v>2</v>
      </c>
      <c r="H59" s="1">
        <v>4</v>
      </c>
      <c r="I59" s="1">
        <v>4</v>
      </c>
      <c r="J59" s="1">
        <v>3</v>
      </c>
      <c r="K59" s="1">
        <v>3</v>
      </c>
      <c r="L59" s="1">
        <v>2</v>
      </c>
      <c r="M59" s="1">
        <v>3</v>
      </c>
      <c r="N59" s="1">
        <v>2</v>
      </c>
      <c r="O59" s="1">
        <v>1</v>
      </c>
      <c r="P59" s="1">
        <v>3</v>
      </c>
      <c r="Q59" s="7" t="s">
        <v>0</v>
      </c>
    </row>
    <row r="60" spans="1:21" x14ac:dyDescent="0.25">
      <c r="A60" s="22"/>
      <c r="B60" s="2" t="s">
        <v>5</v>
      </c>
      <c r="C60" s="1">
        <v>0</v>
      </c>
      <c r="D60" s="1">
        <v>0</v>
      </c>
      <c r="E60" s="1">
        <v>1</v>
      </c>
      <c r="F60" s="1">
        <v>1</v>
      </c>
      <c r="G60" s="7">
        <v>1</v>
      </c>
      <c r="H60" s="1">
        <v>2</v>
      </c>
      <c r="I60" s="1">
        <v>2</v>
      </c>
      <c r="J60" s="1">
        <v>3</v>
      </c>
      <c r="K60" s="1">
        <v>3</v>
      </c>
      <c r="L60" s="1">
        <v>4</v>
      </c>
      <c r="M60" s="1">
        <v>4</v>
      </c>
      <c r="N60" s="1">
        <v>5</v>
      </c>
      <c r="O60" s="1">
        <v>6</v>
      </c>
      <c r="P60" s="1">
        <v>6</v>
      </c>
      <c r="Q60" s="7" t="s">
        <v>0</v>
      </c>
    </row>
    <row r="61" spans="1:21" x14ac:dyDescent="0.25">
      <c r="A61" s="22"/>
      <c r="B61" s="2" t="s">
        <v>6</v>
      </c>
      <c r="C61" s="1">
        <v>15</v>
      </c>
      <c r="D61" s="1">
        <f>C61+15</f>
        <v>30</v>
      </c>
      <c r="E61" s="1">
        <f t="shared" ref="E61:Q61" si="4">D61+15</f>
        <v>45</v>
      </c>
      <c r="F61" s="1">
        <f t="shared" si="4"/>
        <v>60</v>
      </c>
      <c r="G61" s="7">
        <f t="shared" si="4"/>
        <v>75</v>
      </c>
      <c r="H61" s="1">
        <f t="shared" si="4"/>
        <v>90</v>
      </c>
      <c r="I61" s="1">
        <f t="shared" si="4"/>
        <v>105</v>
      </c>
      <c r="J61" s="1">
        <f t="shared" si="4"/>
        <v>120</v>
      </c>
      <c r="K61" s="1">
        <f t="shared" si="4"/>
        <v>135</v>
      </c>
      <c r="L61" s="1">
        <f t="shared" si="4"/>
        <v>150</v>
      </c>
      <c r="M61" s="1">
        <f t="shared" si="4"/>
        <v>165</v>
      </c>
      <c r="N61" s="1">
        <f t="shared" si="4"/>
        <v>180</v>
      </c>
      <c r="O61" s="1">
        <f t="shared" si="4"/>
        <v>195</v>
      </c>
      <c r="P61" s="1">
        <f t="shared" si="4"/>
        <v>210</v>
      </c>
      <c r="Q61" s="7">
        <f t="shared" si="4"/>
        <v>225</v>
      </c>
    </row>
    <row r="62" spans="1:21" x14ac:dyDescent="0.25">
      <c r="A62" s="22"/>
      <c r="B62" s="1" t="s">
        <v>7</v>
      </c>
      <c r="C62" s="1">
        <v>21</v>
      </c>
      <c r="D62" s="1">
        <v>30</v>
      </c>
      <c r="E62" s="1">
        <v>54</v>
      </c>
      <c r="F62" s="1">
        <v>64</v>
      </c>
      <c r="G62" s="7">
        <v>76</v>
      </c>
      <c r="H62" s="1">
        <v>90</v>
      </c>
      <c r="I62" s="1">
        <v>105</v>
      </c>
      <c r="J62" s="1">
        <v>138</v>
      </c>
      <c r="K62" s="1">
        <v>135</v>
      </c>
      <c r="L62" s="1">
        <v>151</v>
      </c>
      <c r="M62" s="1">
        <v>167</v>
      </c>
      <c r="N62" s="1">
        <v>182</v>
      </c>
      <c r="O62" s="1">
        <v>195</v>
      </c>
      <c r="P62" s="1">
        <v>210</v>
      </c>
      <c r="Q62" s="7" t="s">
        <v>0</v>
      </c>
    </row>
    <row r="63" spans="1:21" x14ac:dyDescent="0.25">
      <c r="A63" s="22"/>
      <c r="B63" s="1" t="s">
        <v>8</v>
      </c>
      <c r="C63" s="1">
        <v>1.8352999999999999</v>
      </c>
      <c r="D63" s="1">
        <v>1.8352999999999999</v>
      </c>
      <c r="E63" s="1">
        <v>2.2852999999999999</v>
      </c>
      <c r="F63" s="1">
        <v>2.2852999999999999</v>
      </c>
      <c r="G63" s="7">
        <v>2.5912000000000002</v>
      </c>
      <c r="H63" s="1">
        <v>2.7353000000000001</v>
      </c>
      <c r="I63" s="1">
        <v>2.7353000000000001</v>
      </c>
      <c r="J63" s="1">
        <v>3.1852999999999998</v>
      </c>
      <c r="K63" s="1">
        <v>3.1852999999999998</v>
      </c>
      <c r="L63" s="1">
        <v>3.6353</v>
      </c>
      <c r="M63" s="1">
        <v>3.9411999999999998</v>
      </c>
      <c r="N63" s="1">
        <v>4.3912000000000004</v>
      </c>
      <c r="O63" s="1">
        <v>4.8411999999999997</v>
      </c>
      <c r="P63" s="1">
        <v>5.4530000000000003</v>
      </c>
      <c r="Q63" s="7" t="s">
        <v>0</v>
      </c>
    </row>
    <row r="64" spans="1:21" x14ac:dyDescent="0.25">
      <c r="A64" s="22"/>
      <c r="B64" s="1" t="s">
        <v>9</v>
      </c>
      <c r="C64" s="5">
        <v>0</v>
      </c>
      <c r="D64" s="5">
        <v>0</v>
      </c>
      <c r="E64" s="5">
        <v>0</v>
      </c>
      <c r="F64" s="5">
        <v>0</v>
      </c>
      <c r="G64" s="8">
        <v>11.49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1">
        <v>8.1600000000000006E-2</v>
      </c>
      <c r="N64" s="1">
        <v>0</v>
      </c>
      <c r="O64" s="1">
        <v>0</v>
      </c>
      <c r="P64" s="1">
        <v>0</v>
      </c>
      <c r="Q64" s="7" t="s">
        <v>0</v>
      </c>
    </row>
    <row r="65" spans="1:22" x14ac:dyDescent="0.25">
      <c r="A65" s="22"/>
      <c r="B65" s="1" t="s">
        <v>13</v>
      </c>
      <c r="C65" s="21">
        <v>152099</v>
      </c>
      <c r="D65" s="21"/>
      <c r="E65" s="21"/>
      <c r="F65" s="21"/>
      <c r="G65" s="30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22" x14ac:dyDescent="0.25">
      <c r="A66" s="22"/>
      <c r="B66" s="1" t="s">
        <v>10</v>
      </c>
      <c r="C66" s="21">
        <v>303642</v>
      </c>
      <c r="D66" s="21"/>
      <c r="E66" s="21"/>
      <c r="F66" s="21"/>
      <c r="G66" s="30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22" x14ac:dyDescent="0.25">
      <c r="A67" s="22"/>
      <c r="B67" s="1" t="s">
        <v>11</v>
      </c>
      <c r="C67" s="21">
        <v>0</v>
      </c>
      <c r="D67" s="21"/>
      <c r="E67" s="21"/>
      <c r="F67" s="21"/>
      <c r="G67" s="30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22" x14ac:dyDescent="0.25">
      <c r="A68" s="22"/>
      <c r="B68" s="1" t="s">
        <v>12</v>
      </c>
      <c r="C68" s="21">
        <v>152213</v>
      </c>
      <c r="D68" s="21"/>
      <c r="E68" s="21"/>
      <c r="F68" s="21"/>
      <c r="G68" s="30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22" x14ac:dyDescent="0.25">
      <c r="A69" s="22"/>
      <c r="B69" s="1" t="s">
        <v>14</v>
      </c>
      <c r="C69" s="21">
        <v>152213</v>
      </c>
      <c r="D69" s="21"/>
      <c r="E69" s="21"/>
      <c r="F69" s="21"/>
      <c r="G69" s="30"/>
      <c r="H69" s="21"/>
      <c r="I69" s="21"/>
      <c r="J69" s="21"/>
      <c r="K69" s="21"/>
      <c r="L69" s="21"/>
      <c r="M69" s="21"/>
      <c r="N69" s="21"/>
      <c r="O69" s="21"/>
      <c r="P69" s="21"/>
      <c r="Q69" s="21"/>
      <c r="S69" s="1" t="s">
        <v>17</v>
      </c>
      <c r="T69" s="1" t="s">
        <v>18</v>
      </c>
      <c r="U69" s="1" t="s">
        <v>19</v>
      </c>
    </row>
    <row r="70" spans="1:22" x14ac:dyDescent="0.25">
      <c r="A70" s="22"/>
      <c r="B70" s="1" t="s">
        <v>15</v>
      </c>
      <c r="C70" s="1">
        <v>15.29</v>
      </c>
      <c r="D70" s="1">
        <v>12.57</v>
      </c>
      <c r="E70" s="1">
        <v>562.70000000000005</v>
      </c>
      <c r="F70" s="1">
        <v>20.64</v>
      </c>
      <c r="G70" s="7">
        <v>43200.3</v>
      </c>
      <c r="H70" s="1">
        <v>19210.900000000001</v>
      </c>
      <c r="I70" s="1">
        <v>82.74</v>
      </c>
      <c r="J70" s="1">
        <v>25367.38</v>
      </c>
      <c r="K70" s="1">
        <v>597</v>
      </c>
      <c r="L70" s="1">
        <v>25574.81</v>
      </c>
      <c r="M70" s="1">
        <v>20882.310000000001</v>
      </c>
      <c r="N70" s="1">
        <v>24025.52</v>
      </c>
      <c r="O70" s="1">
        <v>10171.030000000001</v>
      </c>
      <c r="P70" s="1">
        <v>3967.6</v>
      </c>
      <c r="Q70" s="7">
        <v>43200</v>
      </c>
      <c r="S70" s="1">
        <f>SUM(C70:Q70)</f>
        <v>216890.79</v>
      </c>
      <c r="T70" s="1">
        <f>ROUND(S70/60,2)</f>
        <v>3614.85</v>
      </c>
      <c r="U70" s="1">
        <f>ROUND(T70/60,2)</f>
        <v>60.25</v>
      </c>
    </row>
    <row r="71" spans="1:22" x14ac:dyDescent="0.25">
      <c r="A71" s="22"/>
      <c r="B71" s="1" t="s">
        <v>16</v>
      </c>
      <c r="C71" s="1">
        <v>40.15</v>
      </c>
      <c r="D71" s="1">
        <v>37.159999999999997</v>
      </c>
      <c r="E71" s="1">
        <v>586.79999999999995</v>
      </c>
      <c r="F71" s="1">
        <v>44.54</v>
      </c>
      <c r="G71" s="7">
        <v>43223.33</v>
      </c>
      <c r="H71" s="1">
        <v>19246.41</v>
      </c>
      <c r="I71" s="1">
        <v>106.02</v>
      </c>
      <c r="J71" s="1">
        <v>25391.21</v>
      </c>
      <c r="K71" s="1">
        <v>620.88</v>
      </c>
      <c r="L71" s="1">
        <v>25597.88</v>
      </c>
      <c r="M71" s="1">
        <v>20904.419999999998</v>
      </c>
      <c r="N71" s="1">
        <v>24049.83</v>
      </c>
      <c r="O71" s="1">
        <v>10194.870000000001</v>
      </c>
      <c r="P71" s="1">
        <v>3992.83</v>
      </c>
      <c r="Q71" s="7">
        <v>43223</v>
      </c>
      <c r="S71" s="1">
        <f>SUM(C71:Q71)</f>
        <v>217259.33</v>
      </c>
      <c r="T71" s="1">
        <f>ROUND(S71/60,2)</f>
        <v>3620.99</v>
      </c>
      <c r="U71" s="1">
        <f>ROUND(T71/60,2)</f>
        <v>60.35</v>
      </c>
    </row>
    <row r="80" spans="1:22" x14ac:dyDescent="0.25">
      <c r="S80" s="21" t="s">
        <v>20</v>
      </c>
      <c r="T80" s="21"/>
      <c r="U80" s="21"/>
      <c r="V80" s="21"/>
    </row>
    <row r="81" spans="2:22" x14ac:dyDescent="0.25">
      <c r="S81" s="1" t="s">
        <v>21</v>
      </c>
      <c r="T81" s="1" t="s">
        <v>22</v>
      </c>
      <c r="U81" s="1" t="s">
        <v>23</v>
      </c>
      <c r="V81" s="1" t="s">
        <v>24</v>
      </c>
    </row>
    <row r="82" spans="2:22" x14ac:dyDescent="0.25">
      <c r="S82" s="1">
        <f>SUM(S71,S57,S43,S29,S15)</f>
        <v>318476.76299999998</v>
      </c>
      <c r="T82" s="1">
        <f>ROUND(S82/60,2)</f>
        <v>5307.95</v>
      </c>
      <c r="U82" s="1">
        <f>ROUND(T82/60,2)</f>
        <v>88.47</v>
      </c>
      <c r="V82" s="1">
        <f>U82/24</f>
        <v>3.6862499999999998</v>
      </c>
    </row>
    <row r="84" spans="2:22" x14ac:dyDescent="0.25">
      <c r="B84" s="6"/>
    </row>
    <row r="85" spans="2:22" x14ac:dyDescent="0.25">
      <c r="B85" s="6"/>
    </row>
    <row r="86" spans="2:22" x14ac:dyDescent="0.25">
      <c r="B86" s="6"/>
    </row>
    <row r="87" spans="2:22" x14ac:dyDescent="0.25">
      <c r="B87" s="6"/>
    </row>
    <row r="88" spans="2:22" x14ac:dyDescent="0.25">
      <c r="B88" s="6"/>
    </row>
    <row r="89" spans="2:22" x14ac:dyDescent="0.25">
      <c r="B89" s="6"/>
    </row>
    <row r="90" spans="2:22" x14ac:dyDescent="0.25">
      <c r="B90" s="6"/>
    </row>
    <row r="91" spans="2:22" x14ac:dyDescent="0.25">
      <c r="B91" s="6"/>
    </row>
    <row r="92" spans="2:22" x14ac:dyDescent="0.25">
      <c r="B92" s="6"/>
    </row>
    <row r="97" spans="1:6" x14ac:dyDescent="0.25">
      <c r="B97" s="6"/>
      <c r="C97" s="6"/>
      <c r="D97" s="6"/>
      <c r="E97" s="6"/>
      <c r="F97" s="6"/>
    </row>
    <row r="98" spans="1:6" x14ac:dyDescent="0.25">
      <c r="E98" s="13"/>
    </row>
    <row r="99" spans="1:6" x14ac:dyDescent="0.25">
      <c r="E99" s="13"/>
    </row>
    <row r="112" spans="1:6" x14ac:dyDescent="0.25">
      <c r="A112" s="6"/>
      <c r="F112" s="14"/>
    </row>
    <row r="113" spans="1:6" x14ac:dyDescent="0.25">
      <c r="A113" s="6"/>
      <c r="F113" s="14"/>
    </row>
    <row r="114" spans="1:6" x14ac:dyDescent="0.25">
      <c r="A114" s="6"/>
      <c r="F114" s="14"/>
    </row>
  </sheetData>
  <mergeCells count="37">
    <mergeCell ref="A16:A29"/>
    <mergeCell ref="C16:Q16"/>
    <mergeCell ref="C25:Q25"/>
    <mergeCell ref="C26:Q26"/>
    <mergeCell ref="B1:Q1"/>
    <mergeCell ref="C2:Q2"/>
    <mergeCell ref="A2:A15"/>
    <mergeCell ref="C27:Q27"/>
    <mergeCell ref="C58:Q58"/>
    <mergeCell ref="C44:Q44"/>
    <mergeCell ref="C9:Q9"/>
    <mergeCell ref="C10:Q10"/>
    <mergeCell ref="C11:Q11"/>
    <mergeCell ref="C12:Q12"/>
    <mergeCell ref="C13:Q13"/>
    <mergeCell ref="C23:Q23"/>
    <mergeCell ref="C24:Q24"/>
    <mergeCell ref="A58:A71"/>
    <mergeCell ref="C69:Q69"/>
    <mergeCell ref="A44:A57"/>
    <mergeCell ref="C51:Q51"/>
    <mergeCell ref="C52:Q52"/>
    <mergeCell ref="C53:Q53"/>
    <mergeCell ref="S80:V80"/>
    <mergeCell ref="C54:Q54"/>
    <mergeCell ref="C55:Q55"/>
    <mergeCell ref="C65:Q65"/>
    <mergeCell ref="C66:Q66"/>
    <mergeCell ref="C67:Q67"/>
    <mergeCell ref="C68:Q68"/>
    <mergeCell ref="A30:A43"/>
    <mergeCell ref="C30:Q30"/>
    <mergeCell ref="C37:Q37"/>
    <mergeCell ref="C38:Q38"/>
    <mergeCell ref="C39:Q39"/>
    <mergeCell ref="C40:Q40"/>
    <mergeCell ref="C41:Q41"/>
  </mergeCells>
  <pageMargins left="0.51181102362204722" right="0.51181102362204722" top="0.78740157480314965" bottom="0.78740157480314965" header="0.31496062992125984" footer="0.31496062992125984"/>
  <pageSetup paperSize="9" scale="5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0D51-BE35-43FF-95B7-8FE601DE7509}">
  <dimension ref="A1:AI104"/>
  <sheetViews>
    <sheetView topLeftCell="B1" zoomScale="70" zoomScaleNormal="70" workbookViewId="0">
      <pane ySplit="1" topLeftCell="A56" activePane="bottomLeft" state="frozen"/>
      <selection pane="bottomLeft" activeCell="X80" sqref="X80:AA81"/>
    </sheetView>
  </sheetViews>
  <sheetFormatPr defaultRowHeight="15" x14ac:dyDescent="0.25"/>
  <cols>
    <col min="1" max="1" width="23.28515625" bestFit="1" customWidth="1"/>
    <col min="2" max="2" width="23.140625" customWidth="1"/>
    <col min="3" max="3" width="8.7109375" bestFit="1" customWidth="1"/>
    <col min="4" max="4" width="11.140625" customWidth="1"/>
    <col min="5" max="8" width="8.7109375" bestFit="1" customWidth="1"/>
    <col min="9" max="13" width="10" bestFit="1" customWidth="1"/>
    <col min="14" max="14" width="13.140625" customWidth="1"/>
    <col min="17" max="17" width="11.140625" bestFit="1" customWidth="1"/>
    <col min="18" max="22" width="8.7109375" bestFit="1" customWidth="1"/>
    <col min="23" max="23" width="3.42578125" customWidth="1"/>
    <col min="24" max="24" width="15.7109375" bestFit="1" customWidth="1"/>
    <col min="25" max="25" width="18.140625" bestFit="1" customWidth="1"/>
    <col min="26" max="26" width="15.85546875" bestFit="1" customWidth="1"/>
    <col min="27" max="27" width="18.7109375" bestFit="1" customWidth="1"/>
    <col min="29" max="29" width="16.85546875" bestFit="1" customWidth="1"/>
    <col min="32" max="32" width="15.140625" bestFit="1" customWidth="1"/>
  </cols>
  <sheetData>
    <row r="1" spans="1:35" x14ac:dyDescent="0.25">
      <c r="A1" s="34" t="s">
        <v>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35" x14ac:dyDescent="0.25">
      <c r="A2" s="22">
        <v>0.1</v>
      </c>
      <c r="B2" s="2" t="s">
        <v>3</v>
      </c>
      <c r="C2" s="15">
        <v>40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</row>
    <row r="3" spans="1:35" x14ac:dyDescent="0.25">
      <c r="A3" s="22"/>
      <c r="B3" s="2" t="s">
        <v>4</v>
      </c>
      <c r="C3" s="9">
        <v>2</v>
      </c>
      <c r="D3" s="9">
        <v>1</v>
      </c>
      <c r="E3" s="9">
        <v>1</v>
      </c>
      <c r="F3" s="9">
        <v>1</v>
      </c>
      <c r="G3" s="9">
        <v>0</v>
      </c>
      <c r="H3" s="9">
        <v>0</v>
      </c>
      <c r="I3" s="9">
        <v>1</v>
      </c>
      <c r="J3" s="9">
        <v>0</v>
      </c>
      <c r="K3" s="9">
        <v>1</v>
      </c>
      <c r="L3" s="9">
        <v>2</v>
      </c>
      <c r="M3" s="9">
        <v>1</v>
      </c>
      <c r="N3" s="9">
        <v>1</v>
      </c>
      <c r="O3" s="9">
        <v>1</v>
      </c>
      <c r="P3" s="9">
        <v>1</v>
      </c>
      <c r="Q3" s="9">
        <v>3</v>
      </c>
      <c r="R3" s="9">
        <v>1</v>
      </c>
      <c r="S3" s="9">
        <v>1</v>
      </c>
      <c r="T3" s="9">
        <v>2</v>
      </c>
      <c r="U3" s="9">
        <v>2</v>
      </c>
      <c r="V3" s="9">
        <v>2</v>
      </c>
    </row>
    <row r="4" spans="1:35" x14ac:dyDescent="0.25">
      <c r="A4" s="22"/>
      <c r="B4" s="2" t="s">
        <v>5</v>
      </c>
      <c r="C4" s="9">
        <v>0</v>
      </c>
      <c r="D4" s="9">
        <v>1</v>
      </c>
      <c r="E4" s="9">
        <v>1</v>
      </c>
      <c r="F4" s="9">
        <v>1</v>
      </c>
      <c r="G4" s="9">
        <v>2</v>
      </c>
      <c r="H4" s="9">
        <v>2</v>
      </c>
      <c r="I4" s="9">
        <v>2</v>
      </c>
      <c r="J4" s="9">
        <v>3</v>
      </c>
      <c r="K4" s="9">
        <v>3</v>
      </c>
      <c r="L4" s="9">
        <v>3</v>
      </c>
      <c r="M4" s="9">
        <v>4</v>
      </c>
      <c r="N4" s="9">
        <v>4</v>
      </c>
      <c r="O4" s="9">
        <v>5</v>
      </c>
      <c r="P4" s="9">
        <v>5</v>
      </c>
      <c r="Q4" s="9">
        <v>5</v>
      </c>
      <c r="R4" s="9">
        <v>6</v>
      </c>
      <c r="S4" s="9">
        <v>7</v>
      </c>
      <c r="T4" s="9">
        <v>7</v>
      </c>
      <c r="U4" s="9">
        <v>8</v>
      </c>
      <c r="V4" s="9">
        <v>9</v>
      </c>
    </row>
    <row r="5" spans="1:35" x14ac:dyDescent="0.25">
      <c r="A5" s="22"/>
      <c r="B5" s="2" t="s">
        <v>6</v>
      </c>
      <c r="C5" s="9">
        <v>13</v>
      </c>
      <c r="D5" s="9">
        <f>C5+13</f>
        <v>26</v>
      </c>
      <c r="E5" s="9">
        <f t="shared" ref="E5:V5" si="0">D5+13</f>
        <v>39</v>
      </c>
      <c r="F5" s="9">
        <f t="shared" si="0"/>
        <v>52</v>
      </c>
      <c r="G5" s="9">
        <f t="shared" si="0"/>
        <v>65</v>
      </c>
      <c r="H5" s="9">
        <f t="shared" si="0"/>
        <v>78</v>
      </c>
      <c r="I5" s="9">
        <f t="shared" si="0"/>
        <v>91</v>
      </c>
      <c r="J5" s="9">
        <f t="shared" si="0"/>
        <v>104</v>
      </c>
      <c r="K5" s="9">
        <f t="shared" si="0"/>
        <v>117</v>
      </c>
      <c r="L5" s="9">
        <f t="shared" si="0"/>
        <v>130</v>
      </c>
      <c r="M5" s="9">
        <f t="shared" si="0"/>
        <v>143</v>
      </c>
      <c r="N5" s="9">
        <f t="shared" si="0"/>
        <v>156</v>
      </c>
      <c r="O5" s="9">
        <f t="shared" si="0"/>
        <v>169</v>
      </c>
      <c r="P5" s="9">
        <f t="shared" si="0"/>
        <v>182</v>
      </c>
      <c r="Q5" s="9">
        <f t="shared" si="0"/>
        <v>195</v>
      </c>
      <c r="R5" s="9">
        <f t="shared" si="0"/>
        <v>208</v>
      </c>
      <c r="S5" s="9">
        <f t="shared" si="0"/>
        <v>221</v>
      </c>
      <c r="T5" s="9">
        <f t="shared" si="0"/>
        <v>234</v>
      </c>
      <c r="U5" s="9">
        <f t="shared" si="0"/>
        <v>247</v>
      </c>
      <c r="V5" s="9">
        <f t="shared" si="0"/>
        <v>260</v>
      </c>
    </row>
    <row r="6" spans="1:35" x14ac:dyDescent="0.25">
      <c r="A6" s="22"/>
      <c r="B6" s="1" t="s">
        <v>7</v>
      </c>
      <c r="C6" s="9">
        <v>14</v>
      </c>
      <c r="D6" s="9">
        <v>49</v>
      </c>
      <c r="E6" s="9">
        <v>51</v>
      </c>
      <c r="F6" s="9">
        <v>54</v>
      </c>
      <c r="G6" s="9">
        <v>78</v>
      </c>
      <c r="H6" s="9">
        <v>78</v>
      </c>
      <c r="I6" s="9">
        <v>92</v>
      </c>
      <c r="J6" s="9">
        <v>106</v>
      </c>
      <c r="K6" s="9">
        <v>119</v>
      </c>
      <c r="L6" s="9">
        <v>134</v>
      </c>
      <c r="M6" s="9">
        <v>144</v>
      </c>
      <c r="N6" s="9">
        <v>156</v>
      </c>
      <c r="O6" s="9">
        <v>169</v>
      </c>
      <c r="P6" s="9">
        <v>183</v>
      </c>
      <c r="Q6" s="9">
        <v>195</v>
      </c>
      <c r="R6" s="9">
        <v>209</v>
      </c>
      <c r="S6" s="9">
        <v>221</v>
      </c>
      <c r="T6" s="9">
        <v>237</v>
      </c>
      <c r="U6" s="9">
        <v>250</v>
      </c>
      <c r="V6" s="9">
        <v>261</v>
      </c>
    </row>
    <row r="7" spans="1:35" x14ac:dyDescent="0.25">
      <c r="A7" s="22"/>
      <c r="B7" s="1" t="s">
        <v>8</v>
      </c>
      <c r="C7" s="9">
        <v>0.61170000000000002</v>
      </c>
      <c r="D7" s="9">
        <v>1.0609999999999999</v>
      </c>
      <c r="E7" s="9">
        <v>1.0609999999999999</v>
      </c>
      <c r="F7" s="9">
        <v>1.0609999999999999</v>
      </c>
      <c r="G7" s="9">
        <v>1.5117</v>
      </c>
      <c r="H7" s="9">
        <v>1.5117</v>
      </c>
      <c r="I7" s="9">
        <v>1.8176000000000001</v>
      </c>
      <c r="J7" s="9">
        <v>2.2675999999999998</v>
      </c>
      <c r="K7" s="9">
        <v>2.5735000000000001</v>
      </c>
      <c r="L7" s="9">
        <v>2.8794</v>
      </c>
      <c r="M7" s="9">
        <v>3.3294000000000001</v>
      </c>
      <c r="N7" s="9">
        <v>3.3294000000000001</v>
      </c>
      <c r="O7" s="9">
        <v>4.0853000000000002</v>
      </c>
      <c r="P7" s="9">
        <v>4.0853000000000002</v>
      </c>
      <c r="Q7" s="9">
        <v>4.6970999999999998</v>
      </c>
      <c r="R7" s="9">
        <v>4.8411999999999997</v>
      </c>
      <c r="S7" s="9">
        <v>5.5971000000000002</v>
      </c>
      <c r="T7" s="9">
        <v>5.9029999999999996</v>
      </c>
      <c r="U7" s="9">
        <v>6.6589</v>
      </c>
      <c r="V7" s="9">
        <v>7.4147999999999996</v>
      </c>
      <c r="AI7" s="4"/>
    </row>
    <row r="8" spans="1:35" x14ac:dyDescent="0.25">
      <c r="A8" s="22"/>
      <c r="B8" s="1" t="s">
        <v>9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</row>
    <row r="9" spans="1:35" x14ac:dyDescent="0.25">
      <c r="A9" s="22"/>
      <c r="B9" s="1" t="s">
        <v>13</v>
      </c>
      <c r="C9" s="18">
        <v>46240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</row>
    <row r="10" spans="1:35" x14ac:dyDescent="0.25">
      <c r="A10" s="22"/>
      <c r="B10" s="1" t="s">
        <v>10</v>
      </c>
      <c r="C10" s="18">
        <v>66445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0"/>
    </row>
    <row r="11" spans="1:35" x14ac:dyDescent="0.25">
      <c r="A11" s="22"/>
      <c r="B11" s="1" t="s">
        <v>11</v>
      </c>
      <c r="C11" s="29">
        <v>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spans="1:35" x14ac:dyDescent="0.25">
      <c r="A12" s="22"/>
      <c r="B12" s="1" t="s">
        <v>12</v>
      </c>
      <c r="C12" s="29">
        <v>46282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35" x14ac:dyDescent="0.25">
      <c r="A13" s="22"/>
      <c r="B13" s="1" t="s">
        <v>14</v>
      </c>
      <c r="C13" s="29">
        <v>46282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X13" s="1" t="s">
        <v>17</v>
      </c>
      <c r="Y13" s="1" t="s">
        <v>18</v>
      </c>
      <c r="Z13" s="1" t="s">
        <v>19</v>
      </c>
      <c r="AA13" s="1" t="s">
        <v>1</v>
      </c>
    </row>
    <row r="14" spans="1:35" x14ac:dyDescent="0.25">
      <c r="A14" s="22"/>
      <c r="B14" s="1" t="s">
        <v>15</v>
      </c>
      <c r="C14" s="9">
        <v>1.27</v>
      </c>
      <c r="D14" s="9">
        <v>4.13</v>
      </c>
      <c r="E14" s="9">
        <v>1.0900000000000001</v>
      </c>
      <c r="F14" s="9">
        <v>1.17</v>
      </c>
      <c r="G14" s="9">
        <v>6.52</v>
      </c>
      <c r="H14" s="9">
        <v>1.37</v>
      </c>
      <c r="I14" s="9">
        <v>8.7100000000000009</v>
      </c>
      <c r="J14" s="9">
        <v>20.010000000000002</v>
      </c>
      <c r="K14" s="9">
        <v>11.7</v>
      </c>
      <c r="L14" s="9">
        <v>19.07</v>
      </c>
      <c r="M14" s="9">
        <v>46.04</v>
      </c>
      <c r="N14" s="9">
        <v>31.16</v>
      </c>
      <c r="O14" s="9">
        <v>151.41999999999999</v>
      </c>
      <c r="P14" s="9">
        <v>43.44</v>
      </c>
      <c r="Q14" s="9">
        <v>234.08</v>
      </c>
      <c r="R14" s="9">
        <v>151.72999999999999</v>
      </c>
      <c r="S14" s="9">
        <v>233.92</v>
      </c>
      <c r="T14" s="9">
        <v>150.59</v>
      </c>
      <c r="U14" s="9">
        <v>117.73</v>
      </c>
      <c r="V14" s="9">
        <v>143.27000000000001</v>
      </c>
      <c r="X14" s="1">
        <f>SUM(C14:V14)</f>
        <v>1378.4199999999998</v>
      </c>
      <c r="Y14" s="1">
        <f>ROUND(X14/60,2)</f>
        <v>22.97</v>
      </c>
      <c r="Z14" s="1">
        <f>ROUND(Y14/60,2)</f>
        <v>0.38</v>
      </c>
      <c r="AA14" s="1">
        <f>ROUND(Z14/24,2)</f>
        <v>0.02</v>
      </c>
    </row>
    <row r="15" spans="1:35" x14ac:dyDescent="0.25">
      <c r="A15" s="22"/>
      <c r="B15" s="1" t="s">
        <v>16</v>
      </c>
      <c r="C15" s="9">
        <v>6.14</v>
      </c>
      <c r="D15" s="9">
        <v>9.1999999999999993</v>
      </c>
      <c r="E15" s="9">
        <v>6.12</v>
      </c>
      <c r="F15" s="9">
        <v>6.24</v>
      </c>
      <c r="G15" s="9">
        <v>11.52</v>
      </c>
      <c r="H15" s="9">
        <v>6.66</v>
      </c>
      <c r="I15" s="9">
        <v>14.01</v>
      </c>
      <c r="J15" s="9">
        <v>25.29</v>
      </c>
      <c r="K15" s="9">
        <v>16.79</v>
      </c>
      <c r="L15" s="9">
        <v>24.17</v>
      </c>
      <c r="M15" s="9">
        <v>51.12</v>
      </c>
      <c r="N15" s="9">
        <v>36.26</v>
      </c>
      <c r="O15" s="9">
        <v>156.63</v>
      </c>
      <c r="P15" s="9">
        <v>48.92</v>
      </c>
      <c r="Q15" s="9">
        <v>239.31</v>
      </c>
      <c r="R15" s="9">
        <v>157.04</v>
      </c>
      <c r="S15" s="9">
        <v>239.74</v>
      </c>
      <c r="T15" s="9">
        <v>156.16999999999999</v>
      </c>
      <c r="U15" s="9">
        <v>123.09</v>
      </c>
      <c r="V15" s="9">
        <v>148.51</v>
      </c>
      <c r="X15" s="1">
        <f>SUM(C15:V15)</f>
        <v>1482.9299999999998</v>
      </c>
      <c r="Y15" s="1">
        <f>ROUND(X15/60,2)</f>
        <v>24.72</v>
      </c>
      <c r="Z15" s="1">
        <f>ROUND(Y15/60,2)</f>
        <v>0.41</v>
      </c>
      <c r="AA15" s="1">
        <f>ROUND(Z15/24,2)</f>
        <v>0.02</v>
      </c>
    </row>
    <row r="16" spans="1:35" x14ac:dyDescent="0.25">
      <c r="A16" s="22">
        <v>0.2</v>
      </c>
      <c r="B16" s="2" t="s">
        <v>3</v>
      </c>
      <c r="C16" s="29">
        <v>80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7" x14ac:dyDescent="0.25">
      <c r="A17" s="22"/>
      <c r="B17" s="2" t="s">
        <v>4</v>
      </c>
      <c r="C17" s="9">
        <v>4</v>
      </c>
      <c r="D17" s="9">
        <v>3</v>
      </c>
      <c r="E17" s="9">
        <v>3</v>
      </c>
      <c r="F17" s="9">
        <v>2</v>
      </c>
      <c r="G17" s="9">
        <v>2</v>
      </c>
      <c r="H17" s="9">
        <v>0</v>
      </c>
      <c r="I17" s="9">
        <v>1</v>
      </c>
      <c r="J17" s="9">
        <v>2</v>
      </c>
      <c r="K17" s="9">
        <v>1</v>
      </c>
      <c r="L17" s="7">
        <v>1</v>
      </c>
      <c r="M17" s="7">
        <v>1</v>
      </c>
      <c r="N17" s="7">
        <v>2</v>
      </c>
      <c r="O17" s="7">
        <v>1</v>
      </c>
      <c r="P17" s="7">
        <v>1</v>
      </c>
      <c r="Q17" s="7">
        <v>1</v>
      </c>
      <c r="R17" s="7">
        <v>1</v>
      </c>
      <c r="S17" s="7">
        <v>2</v>
      </c>
      <c r="T17" s="7">
        <v>2</v>
      </c>
      <c r="U17" s="7">
        <v>2</v>
      </c>
      <c r="V17" s="7">
        <v>2</v>
      </c>
    </row>
    <row r="18" spans="1:27" x14ac:dyDescent="0.25">
      <c r="A18" s="22"/>
      <c r="B18" s="2" t="s">
        <v>5</v>
      </c>
      <c r="C18" s="9">
        <v>0</v>
      </c>
      <c r="D18" s="9">
        <v>1</v>
      </c>
      <c r="E18" s="9">
        <v>1</v>
      </c>
      <c r="F18" s="9">
        <v>2</v>
      </c>
      <c r="G18" s="9">
        <v>2</v>
      </c>
      <c r="H18" s="9">
        <v>2</v>
      </c>
      <c r="I18" s="9">
        <v>4</v>
      </c>
      <c r="J18" s="9">
        <v>4</v>
      </c>
      <c r="K18" s="9">
        <v>5</v>
      </c>
      <c r="L18" s="7">
        <v>6</v>
      </c>
      <c r="M18" s="7">
        <v>7</v>
      </c>
      <c r="N18" s="7">
        <v>7</v>
      </c>
      <c r="O18" s="7">
        <v>8</v>
      </c>
      <c r="P18" s="7">
        <v>9</v>
      </c>
      <c r="Q18" s="7">
        <v>10</v>
      </c>
      <c r="R18" s="7">
        <v>12</v>
      </c>
      <c r="S18" s="7">
        <v>12</v>
      </c>
      <c r="T18" s="7">
        <v>13</v>
      </c>
      <c r="U18" s="7">
        <v>15</v>
      </c>
      <c r="V18" s="7">
        <v>19</v>
      </c>
    </row>
    <row r="19" spans="1:27" x14ac:dyDescent="0.25">
      <c r="A19" s="22"/>
      <c r="B19" s="2" t="s">
        <v>6</v>
      </c>
      <c r="C19" s="9">
        <v>20</v>
      </c>
      <c r="D19" s="9">
        <f>C19+20</f>
        <v>40</v>
      </c>
      <c r="E19" s="9">
        <f t="shared" ref="E19:V19" si="1">D19+20</f>
        <v>60</v>
      </c>
      <c r="F19" s="9">
        <f t="shared" si="1"/>
        <v>80</v>
      </c>
      <c r="G19" s="9">
        <f t="shared" si="1"/>
        <v>100</v>
      </c>
      <c r="H19" s="9">
        <f t="shared" si="1"/>
        <v>120</v>
      </c>
      <c r="I19" s="9">
        <f t="shared" si="1"/>
        <v>140</v>
      </c>
      <c r="J19" s="9">
        <f t="shared" si="1"/>
        <v>160</v>
      </c>
      <c r="K19" s="9">
        <f t="shared" si="1"/>
        <v>180</v>
      </c>
      <c r="L19" s="7">
        <f t="shared" si="1"/>
        <v>200</v>
      </c>
      <c r="M19" s="7">
        <f t="shared" si="1"/>
        <v>220</v>
      </c>
      <c r="N19" s="7">
        <f t="shared" si="1"/>
        <v>240</v>
      </c>
      <c r="O19" s="7">
        <f t="shared" si="1"/>
        <v>260</v>
      </c>
      <c r="P19" s="7">
        <f t="shared" si="1"/>
        <v>280</v>
      </c>
      <c r="Q19" s="7">
        <f t="shared" si="1"/>
        <v>300</v>
      </c>
      <c r="R19" s="7">
        <f t="shared" si="1"/>
        <v>320</v>
      </c>
      <c r="S19" s="7">
        <f t="shared" si="1"/>
        <v>340</v>
      </c>
      <c r="T19" s="7">
        <f t="shared" si="1"/>
        <v>360</v>
      </c>
      <c r="U19" s="7">
        <f t="shared" si="1"/>
        <v>380</v>
      </c>
      <c r="V19" s="7">
        <f t="shared" si="1"/>
        <v>400</v>
      </c>
    </row>
    <row r="20" spans="1:27" x14ac:dyDescent="0.25">
      <c r="A20" s="22"/>
      <c r="B20" s="1" t="s">
        <v>7</v>
      </c>
      <c r="C20" s="9">
        <v>20</v>
      </c>
      <c r="D20" s="9">
        <v>53</v>
      </c>
      <c r="E20" s="9">
        <v>61</v>
      </c>
      <c r="F20" s="9">
        <v>80</v>
      </c>
      <c r="G20" s="9">
        <v>100</v>
      </c>
      <c r="H20" s="9">
        <v>120</v>
      </c>
      <c r="I20" s="9">
        <v>151</v>
      </c>
      <c r="J20" s="9">
        <v>161</v>
      </c>
      <c r="K20" s="9">
        <v>186</v>
      </c>
      <c r="L20" s="7">
        <v>208</v>
      </c>
      <c r="M20" s="7">
        <v>225</v>
      </c>
      <c r="N20" s="7">
        <v>240</v>
      </c>
      <c r="O20" s="7">
        <v>260</v>
      </c>
      <c r="P20" s="7">
        <v>280</v>
      </c>
      <c r="Q20" s="7">
        <v>302</v>
      </c>
      <c r="R20" s="7">
        <v>320</v>
      </c>
      <c r="S20" s="7">
        <v>342</v>
      </c>
      <c r="T20" s="7">
        <v>362</v>
      </c>
      <c r="U20" s="7">
        <v>380</v>
      </c>
      <c r="V20" s="7">
        <v>400</v>
      </c>
    </row>
    <row r="21" spans="1:27" x14ac:dyDescent="0.25">
      <c r="A21" s="22"/>
      <c r="B21" s="1" t="s">
        <v>8</v>
      </c>
      <c r="C21" s="9">
        <v>1.2235</v>
      </c>
      <c r="D21" s="9">
        <v>1.6735</v>
      </c>
      <c r="E21" s="9">
        <v>1.6735</v>
      </c>
      <c r="F21" s="9">
        <v>2.1234999999999999</v>
      </c>
      <c r="G21" s="9">
        <v>2.1234999999999999</v>
      </c>
      <c r="H21" s="9">
        <v>2.5735000000000001</v>
      </c>
      <c r="I21" s="9">
        <v>3.3294000000000001</v>
      </c>
      <c r="J21" s="9">
        <v>3.6353</v>
      </c>
      <c r="K21" s="9">
        <v>4.0853000000000002</v>
      </c>
      <c r="L21" s="7">
        <v>4.8411999999999997</v>
      </c>
      <c r="M21" s="7">
        <v>5.5971000000000002</v>
      </c>
      <c r="N21" s="7">
        <v>5.9029999999999996</v>
      </c>
      <c r="O21" s="7">
        <v>6.3529999999999998</v>
      </c>
      <c r="P21" s="7">
        <v>7.1089000000000002</v>
      </c>
      <c r="Q21" s="7">
        <v>7.8647999999999998</v>
      </c>
      <c r="R21" s="7">
        <v>9.3765000000000001</v>
      </c>
      <c r="S21" s="7">
        <v>9.6823999999999995</v>
      </c>
      <c r="T21" s="7">
        <v>10.4383</v>
      </c>
      <c r="U21" s="7">
        <v>11.950100000000001</v>
      </c>
      <c r="V21" s="7">
        <v>14.973699999999999</v>
      </c>
    </row>
    <row r="22" spans="1:27" x14ac:dyDescent="0.25">
      <c r="A22" s="22"/>
      <c r="B22" s="1" t="s">
        <v>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6.41</v>
      </c>
      <c r="M22" s="12">
        <v>12.76</v>
      </c>
      <c r="N22" s="12">
        <v>9.32</v>
      </c>
      <c r="O22" s="12">
        <v>7.23</v>
      </c>
      <c r="P22" s="12">
        <v>9.8611000000000004</v>
      </c>
      <c r="Q22" s="12">
        <v>11.18</v>
      </c>
      <c r="R22" s="12">
        <v>18.75</v>
      </c>
      <c r="S22" s="12">
        <v>11.9</v>
      </c>
      <c r="T22" s="12">
        <v>7.79</v>
      </c>
      <c r="U22" s="12">
        <v>7.02</v>
      </c>
      <c r="V22" s="12">
        <v>3.02</v>
      </c>
    </row>
    <row r="23" spans="1:27" x14ac:dyDescent="0.25">
      <c r="A23" s="22"/>
      <c r="B23" s="1" t="s">
        <v>13</v>
      </c>
      <c r="C23" s="29">
        <v>116880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7" x14ac:dyDescent="0.25">
      <c r="A24" s="22"/>
      <c r="B24" s="1" t="s">
        <v>10</v>
      </c>
      <c r="C24" s="29">
        <v>194885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7" x14ac:dyDescent="0.25">
      <c r="A25" s="22"/>
      <c r="B25" s="1" t="s">
        <v>11</v>
      </c>
      <c r="C25" s="29">
        <v>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7" x14ac:dyDescent="0.25">
      <c r="A26" s="22"/>
      <c r="B26" s="1" t="s">
        <v>12</v>
      </c>
      <c r="C26" s="29">
        <v>116962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7" x14ac:dyDescent="0.25">
      <c r="A27" s="22"/>
      <c r="B27" s="1" t="s">
        <v>14</v>
      </c>
      <c r="C27" s="29">
        <v>116962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X27" s="1" t="s">
        <v>17</v>
      </c>
      <c r="Y27" s="1" t="s">
        <v>18</v>
      </c>
      <c r="Z27" s="1" t="s">
        <v>19</v>
      </c>
      <c r="AA27" s="1" t="s">
        <v>1</v>
      </c>
    </row>
    <row r="28" spans="1:27" x14ac:dyDescent="0.25">
      <c r="A28" s="22"/>
      <c r="B28" s="1" t="s">
        <v>15</v>
      </c>
      <c r="C28" s="9">
        <v>4.08</v>
      </c>
      <c r="D28" s="9">
        <v>6.43</v>
      </c>
      <c r="E28" s="9">
        <v>8.69</v>
      </c>
      <c r="F28" s="9">
        <v>47.05</v>
      </c>
      <c r="G28" s="9">
        <v>65.2</v>
      </c>
      <c r="H28" s="9">
        <v>286.70999999999998</v>
      </c>
      <c r="I28" s="9">
        <v>4564.21</v>
      </c>
      <c r="J28" s="9">
        <v>5423.28</v>
      </c>
      <c r="K28" s="9">
        <v>5293.83</v>
      </c>
      <c r="L28" s="7">
        <v>43200</v>
      </c>
      <c r="M28" s="7">
        <v>43200</v>
      </c>
      <c r="N28" s="7">
        <v>43200</v>
      </c>
      <c r="O28" s="7">
        <v>43200</v>
      </c>
      <c r="P28" s="7">
        <v>43200</v>
      </c>
      <c r="Q28" s="7">
        <v>43200</v>
      </c>
      <c r="R28" s="7">
        <v>43200</v>
      </c>
      <c r="S28" s="7">
        <v>43200</v>
      </c>
      <c r="T28" s="7">
        <v>43200</v>
      </c>
      <c r="U28" s="7">
        <v>43200</v>
      </c>
      <c r="V28" s="7">
        <v>43200</v>
      </c>
      <c r="X28" s="1">
        <f>SUM(C28:V28)</f>
        <v>490899.48</v>
      </c>
      <c r="Y28" s="1">
        <f>ROUND(X28/60,2)</f>
        <v>8181.66</v>
      </c>
      <c r="Z28" s="1">
        <f>ROUND(Y28/60,2)</f>
        <v>136.36000000000001</v>
      </c>
      <c r="AA28" s="1">
        <f>ROUND(Z28/24,2)</f>
        <v>5.68</v>
      </c>
    </row>
    <row r="29" spans="1:27" x14ac:dyDescent="0.25">
      <c r="A29" s="22"/>
      <c r="B29" s="1" t="s">
        <v>16</v>
      </c>
      <c r="C29" s="9">
        <v>17.91</v>
      </c>
      <c r="D29" s="9">
        <v>20.54</v>
      </c>
      <c r="E29" s="9">
        <v>22.91</v>
      </c>
      <c r="F29" s="9">
        <v>61.25</v>
      </c>
      <c r="G29" s="9">
        <v>79.59</v>
      </c>
      <c r="H29" s="9">
        <v>300.95</v>
      </c>
      <c r="I29" s="9">
        <v>4578.6099999999997</v>
      </c>
      <c r="J29" s="9">
        <v>5437.77</v>
      </c>
      <c r="K29" s="9">
        <v>5308.34</v>
      </c>
      <c r="L29" s="7">
        <v>43215</v>
      </c>
      <c r="M29" s="7">
        <v>43233</v>
      </c>
      <c r="N29" s="7">
        <v>43248</v>
      </c>
      <c r="O29" s="7">
        <v>43251</v>
      </c>
      <c r="P29" s="7">
        <v>43234</v>
      </c>
      <c r="Q29" s="7">
        <v>43230</v>
      </c>
      <c r="R29" s="7">
        <v>43229</v>
      </c>
      <c r="S29" s="7">
        <v>43236</v>
      </c>
      <c r="T29" s="7">
        <v>43230</v>
      </c>
      <c r="U29" s="7">
        <v>43228</v>
      </c>
      <c r="V29" s="7">
        <v>43231</v>
      </c>
      <c r="X29" s="1">
        <f>SUM(C29:V29)</f>
        <v>491392.87</v>
      </c>
      <c r="Y29" s="1">
        <f>ROUND(X29/60,2)</f>
        <v>8189.88</v>
      </c>
      <c r="Z29" s="1">
        <f>ROUND(Y29/60,2)</f>
        <v>136.5</v>
      </c>
      <c r="AA29" s="1">
        <f>ROUND(Z29/24,2)</f>
        <v>5.69</v>
      </c>
    </row>
    <row r="30" spans="1:27" x14ac:dyDescent="0.25">
      <c r="A30" s="22">
        <v>0.3</v>
      </c>
      <c r="B30" s="2" t="s">
        <v>3</v>
      </c>
      <c r="C30" s="18">
        <v>120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  <row r="31" spans="1:27" x14ac:dyDescent="0.25">
      <c r="A31" s="22"/>
      <c r="B31" s="2" t="s">
        <v>4</v>
      </c>
      <c r="C31" s="9">
        <v>6</v>
      </c>
      <c r="D31" s="9">
        <v>7</v>
      </c>
      <c r="E31" s="9">
        <v>5</v>
      </c>
      <c r="F31" s="9">
        <v>5</v>
      </c>
      <c r="G31" s="9">
        <v>4</v>
      </c>
      <c r="H31" s="9">
        <v>4</v>
      </c>
      <c r="I31" s="7">
        <v>3</v>
      </c>
      <c r="J31" s="9">
        <v>3</v>
      </c>
      <c r="K31" s="9">
        <v>2</v>
      </c>
      <c r="L31" s="7">
        <v>1</v>
      </c>
      <c r="M31" s="7">
        <v>2</v>
      </c>
      <c r="N31" s="7">
        <v>2</v>
      </c>
      <c r="O31" s="7">
        <v>2</v>
      </c>
      <c r="P31" s="7">
        <v>3</v>
      </c>
      <c r="Q31" s="7">
        <v>3</v>
      </c>
      <c r="R31" s="7">
        <v>2</v>
      </c>
      <c r="S31" s="7">
        <v>4</v>
      </c>
      <c r="T31" s="7">
        <v>1</v>
      </c>
      <c r="U31" s="7">
        <v>2</v>
      </c>
      <c r="V31" s="7">
        <v>5</v>
      </c>
    </row>
    <row r="32" spans="1:27" x14ac:dyDescent="0.25">
      <c r="A32" s="22"/>
      <c r="B32" s="2" t="s">
        <v>5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  <c r="H32" s="9">
        <v>2</v>
      </c>
      <c r="I32" s="7">
        <v>3</v>
      </c>
      <c r="J32" s="9">
        <v>3</v>
      </c>
      <c r="K32" s="9">
        <v>4</v>
      </c>
      <c r="L32" s="7">
        <v>5</v>
      </c>
      <c r="M32" s="7">
        <v>5</v>
      </c>
      <c r="N32" s="7">
        <v>6</v>
      </c>
      <c r="O32" s="7">
        <v>7</v>
      </c>
      <c r="P32" s="7">
        <v>7</v>
      </c>
      <c r="Q32" s="7">
        <v>8</v>
      </c>
      <c r="R32" s="7">
        <v>9</v>
      </c>
      <c r="S32" s="7">
        <v>10</v>
      </c>
      <c r="T32" s="7">
        <v>12</v>
      </c>
      <c r="U32" s="7">
        <v>13</v>
      </c>
      <c r="V32" s="7">
        <v>14</v>
      </c>
    </row>
    <row r="33" spans="1:27" x14ac:dyDescent="0.25">
      <c r="A33" s="22"/>
      <c r="B33" s="2" t="s">
        <v>6</v>
      </c>
      <c r="C33" s="9">
        <v>18</v>
      </c>
      <c r="D33" s="9">
        <f>C33+18</f>
        <v>36</v>
      </c>
      <c r="E33" s="9">
        <f t="shared" ref="E33:V33" si="2">D33+18</f>
        <v>54</v>
      </c>
      <c r="F33" s="9">
        <f t="shared" si="2"/>
        <v>72</v>
      </c>
      <c r="G33" s="9">
        <f t="shared" si="2"/>
        <v>90</v>
      </c>
      <c r="H33" s="9">
        <f t="shared" si="2"/>
        <v>108</v>
      </c>
      <c r="I33" s="7">
        <f t="shared" si="2"/>
        <v>126</v>
      </c>
      <c r="J33" s="9">
        <f t="shared" si="2"/>
        <v>144</v>
      </c>
      <c r="K33" s="9">
        <f t="shared" si="2"/>
        <v>162</v>
      </c>
      <c r="L33" s="7">
        <f t="shared" si="2"/>
        <v>180</v>
      </c>
      <c r="M33" s="7">
        <f t="shared" si="2"/>
        <v>198</v>
      </c>
      <c r="N33" s="7">
        <f t="shared" si="2"/>
        <v>216</v>
      </c>
      <c r="O33" s="7">
        <f t="shared" si="2"/>
        <v>234</v>
      </c>
      <c r="P33" s="7">
        <f t="shared" si="2"/>
        <v>252</v>
      </c>
      <c r="Q33" s="7">
        <f t="shared" si="2"/>
        <v>270</v>
      </c>
      <c r="R33" s="7">
        <f t="shared" si="2"/>
        <v>288</v>
      </c>
      <c r="S33" s="7">
        <f t="shared" si="2"/>
        <v>306</v>
      </c>
      <c r="T33" s="7">
        <f t="shared" si="2"/>
        <v>324</v>
      </c>
      <c r="U33" s="7">
        <f t="shared" si="2"/>
        <v>342</v>
      </c>
      <c r="V33" s="7">
        <f t="shared" si="2"/>
        <v>360</v>
      </c>
    </row>
    <row r="34" spans="1:27" x14ac:dyDescent="0.25">
      <c r="A34" s="22"/>
      <c r="B34" s="1" t="s">
        <v>7</v>
      </c>
      <c r="C34" s="9">
        <v>20</v>
      </c>
      <c r="D34" s="9">
        <v>37</v>
      </c>
      <c r="E34" s="9">
        <v>57</v>
      </c>
      <c r="F34" s="9">
        <v>72</v>
      </c>
      <c r="G34" s="9">
        <v>90</v>
      </c>
      <c r="H34" s="9">
        <v>108</v>
      </c>
      <c r="I34" s="7">
        <v>127</v>
      </c>
      <c r="J34" s="9">
        <v>144</v>
      </c>
      <c r="K34" s="9">
        <v>162</v>
      </c>
      <c r="L34" s="7">
        <v>183</v>
      </c>
      <c r="M34" s="7">
        <v>198</v>
      </c>
      <c r="N34" s="7">
        <v>216</v>
      </c>
      <c r="O34" s="7">
        <v>234</v>
      </c>
      <c r="P34" s="7">
        <v>255</v>
      </c>
      <c r="Q34" s="7">
        <v>273</v>
      </c>
      <c r="R34" s="7">
        <v>289</v>
      </c>
      <c r="S34" s="7">
        <v>306</v>
      </c>
      <c r="T34" s="7">
        <v>325</v>
      </c>
      <c r="U34" s="7">
        <v>342</v>
      </c>
      <c r="V34" s="7">
        <v>12.1119</v>
      </c>
    </row>
    <row r="35" spans="1:27" x14ac:dyDescent="0.25">
      <c r="A35" s="22"/>
      <c r="B35" s="1" t="s">
        <v>8</v>
      </c>
      <c r="C35" s="9">
        <v>1.8352999999999999</v>
      </c>
      <c r="D35" s="9">
        <v>2.1412</v>
      </c>
      <c r="E35" s="9">
        <v>2.2852999999999999</v>
      </c>
      <c r="F35" s="9">
        <v>2.2852999999999999</v>
      </c>
      <c r="G35" s="9">
        <v>2.7353000000000001</v>
      </c>
      <c r="H35" s="9">
        <v>2.7353000000000001</v>
      </c>
      <c r="I35" s="7">
        <v>3.1852999999999998</v>
      </c>
      <c r="J35" s="9">
        <v>3.1852999999999998</v>
      </c>
      <c r="K35" s="9">
        <v>3.6353</v>
      </c>
      <c r="L35" s="7">
        <v>4.0853000000000002</v>
      </c>
      <c r="M35" s="7">
        <v>4.3912000000000004</v>
      </c>
      <c r="N35" s="7">
        <v>5.1471</v>
      </c>
      <c r="O35" s="7">
        <v>5.9029999999999996</v>
      </c>
      <c r="P35" s="7">
        <v>6.2088999999999999</v>
      </c>
      <c r="Q35" s="7">
        <v>6.9648000000000003</v>
      </c>
      <c r="R35" s="7">
        <v>7.4147999999999996</v>
      </c>
      <c r="S35" s="7">
        <v>8.7824000000000009</v>
      </c>
      <c r="T35" s="7">
        <v>9.3765000000000001</v>
      </c>
      <c r="U35" s="7">
        <v>10.4383</v>
      </c>
      <c r="V35" s="7">
        <v>360</v>
      </c>
    </row>
    <row r="36" spans="1:27" x14ac:dyDescent="0.25">
      <c r="A36" s="22"/>
      <c r="B36" s="1" t="s">
        <v>9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8">
        <v>5.92</v>
      </c>
      <c r="J36" s="10">
        <v>0</v>
      </c>
      <c r="K36" s="10">
        <v>0</v>
      </c>
      <c r="L36" s="8">
        <v>8.5</v>
      </c>
      <c r="M36" s="7">
        <v>5.23</v>
      </c>
      <c r="N36" s="7">
        <v>14.68</v>
      </c>
      <c r="O36" s="7">
        <v>17.63</v>
      </c>
      <c r="P36" s="7">
        <v>14.56</v>
      </c>
      <c r="Q36" s="7">
        <v>15.76</v>
      </c>
      <c r="R36" s="7">
        <v>13.59</v>
      </c>
      <c r="S36" s="7">
        <v>19.989999999999998</v>
      </c>
      <c r="T36" s="7">
        <v>16.87</v>
      </c>
      <c r="U36" s="7">
        <v>14.86</v>
      </c>
      <c r="V36" s="7">
        <v>13.11</v>
      </c>
    </row>
    <row r="37" spans="1:27" x14ac:dyDescent="0.25">
      <c r="A37" s="22"/>
      <c r="B37" s="1" t="s">
        <v>13</v>
      </c>
      <c r="C37" s="29">
        <v>213120</v>
      </c>
      <c r="D37" s="29"/>
      <c r="E37" s="29"/>
      <c r="F37" s="29"/>
      <c r="G37" s="29"/>
      <c r="H37" s="29"/>
      <c r="I37" s="30"/>
      <c r="J37" s="29"/>
      <c r="K37" s="29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7" x14ac:dyDescent="0.25">
      <c r="A38" s="22"/>
      <c r="B38" s="1" t="s">
        <v>10</v>
      </c>
      <c r="C38" s="29">
        <v>387325</v>
      </c>
      <c r="D38" s="29"/>
      <c r="E38" s="29"/>
      <c r="F38" s="29"/>
      <c r="G38" s="29"/>
      <c r="H38" s="29"/>
      <c r="I38" s="30"/>
      <c r="J38" s="29"/>
      <c r="K38" s="29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spans="1:27" x14ac:dyDescent="0.25">
      <c r="A39" s="22"/>
      <c r="B39" s="1" t="s">
        <v>11</v>
      </c>
      <c r="C39" s="29">
        <v>0</v>
      </c>
      <c r="D39" s="29"/>
      <c r="E39" s="29"/>
      <c r="F39" s="29"/>
      <c r="G39" s="29"/>
      <c r="H39" s="29"/>
      <c r="I39" s="30"/>
      <c r="J39" s="29"/>
      <c r="K39" s="29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spans="1:27" x14ac:dyDescent="0.25">
      <c r="A40" s="22"/>
      <c r="B40" s="1" t="s">
        <v>12</v>
      </c>
      <c r="C40" s="29">
        <v>213242</v>
      </c>
      <c r="D40" s="29"/>
      <c r="E40" s="29"/>
      <c r="F40" s="29"/>
      <c r="G40" s="29"/>
      <c r="H40" s="29"/>
      <c r="I40" s="30"/>
      <c r="J40" s="29"/>
      <c r="K40" s="29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spans="1:27" x14ac:dyDescent="0.25">
      <c r="A41" s="22"/>
      <c r="B41" s="1" t="s">
        <v>14</v>
      </c>
      <c r="C41" s="29">
        <v>213242</v>
      </c>
      <c r="D41" s="29"/>
      <c r="E41" s="29"/>
      <c r="F41" s="29"/>
      <c r="G41" s="29"/>
      <c r="H41" s="29"/>
      <c r="I41" s="30"/>
      <c r="J41" s="29"/>
      <c r="K41" s="29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X41" s="1" t="s">
        <v>17</v>
      </c>
      <c r="Y41" s="1" t="s">
        <v>18</v>
      </c>
      <c r="Z41" s="1" t="s">
        <v>19</v>
      </c>
      <c r="AA41" s="1" t="s">
        <v>1</v>
      </c>
    </row>
    <row r="42" spans="1:27" x14ac:dyDescent="0.25">
      <c r="A42" s="22"/>
      <c r="B42" s="1" t="s">
        <v>15</v>
      </c>
      <c r="C42" s="9">
        <v>15.49</v>
      </c>
      <c r="D42" s="9">
        <v>258.88</v>
      </c>
      <c r="E42" s="9">
        <v>35.11</v>
      </c>
      <c r="F42" s="9">
        <v>383.86</v>
      </c>
      <c r="G42" s="9">
        <v>17290.509999999998</v>
      </c>
      <c r="H42" s="9">
        <v>213.08</v>
      </c>
      <c r="I42" s="7">
        <v>43200</v>
      </c>
      <c r="J42" s="9">
        <v>246.41</v>
      </c>
      <c r="K42" s="9">
        <v>34488</v>
      </c>
      <c r="L42" s="7">
        <v>43200</v>
      </c>
      <c r="M42" s="7">
        <v>43200</v>
      </c>
      <c r="N42" s="7">
        <v>43200</v>
      </c>
      <c r="O42" s="7">
        <v>43200</v>
      </c>
      <c r="P42" s="7">
        <v>43200</v>
      </c>
      <c r="Q42" s="7">
        <v>43200</v>
      </c>
      <c r="R42" s="7">
        <v>43200</v>
      </c>
      <c r="S42" s="7">
        <v>43200</v>
      </c>
      <c r="T42" s="7">
        <v>43200</v>
      </c>
      <c r="U42" s="7">
        <v>43200</v>
      </c>
      <c r="V42" s="7">
        <v>43200</v>
      </c>
      <c r="X42" s="1">
        <f>SUM(C42:V42)</f>
        <v>571331.34</v>
      </c>
      <c r="Y42" s="1">
        <f>ROUND(X42/60,2)</f>
        <v>9522.19</v>
      </c>
      <c r="Z42" s="1">
        <f>ROUND(Y42/60,2)</f>
        <v>158.69999999999999</v>
      </c>
      <c r="AA42" s="1">
        <f>ROUND(Z42/24,2)</f>
        <v>6.61</v>
      </c>
    </row>
    <row r="43" spans="1:27" x14ac:dyDescent="0.25">
      <c r="A43" s="22"/>
      <c r="B43" s="1" t="s">
        <v>16</v>
      </c>
      <c r="C43" s="9">
        <v>67.430000000000007</v>
      </c>
      <c r="D43" s="9">
        <v>288.05</v>
      </c>
      <c r="E43" s="9">
        <v>64.02</v>
      </c>
      <c r="F43" s="9">
        <v>413.35</v>
      </c>
      <c r="G43" s="9">
        <v>17321.14</v>
      </c>
      <c r="H43" s="9">
        <v>243.36</v>
      </c>
      <c r="I43" s="7">
        <v>43229</v>
      </c>
      <c r="J43" s="9">
        <v>283.36</v>
      </c>
      <c r="K43" s="9">
        <v>34518</v>
      </c>
      <c r="L43" s="7">
        <v>43229</v>
      </c>
      <c r="M43" s="7">
        <v>43235</v>
      </c>
      <c r="N43" s="7">
        <v>43246</v>
      </c>
      <c r="O43" s="7">
        <v>43238</v>
      </c>
      <c r="P43" s="7">
        <v>43237</v>
      </c>
      <c r="Q43" s="7">
        <v>43233</v>
      </c>
      <c r="R43" s="7">
        <v>43242</v>
      </c>
      <c r="S43" s="7">
        <v>43233</v>
      </c>
      <c r="T43" s="7">
        <v>43233</v>
      </c>
      <c r="U43" s="7">
        <v>43230</v>
      </c>
      <c r="V43" s="7">
        <v>43230</v>
      </c>
      <c r="X43" s="1">
        <f>SUM(C43:V43)</f>
        <v>572013.71</v>
      </c>
      <c r="Y43" s="1">
        <f>ROUND(X43/60,2)</f>
        <v>9533.56</v>
      </c>
      <c r="Z43" s="1">
        <f>ROUND(Y43/60,2)</f>
        <v>158.88999999999999</v>
      </c>
      <c r="AA43" s="1">
        <f>ROUND(Z43/24,2)</f>
        <v>6.62</v>
      </c>
    </row>
    <row r="44" spans="1:27" x14ac:dyDescent="0.25">
      <c r="A44" s="22">
        <v>0.4</v>
      </c>
      <c r="B44" s="2" t="s">
        <v>3</v>
      </c>
      <c r="C44" s="18">
        <v>160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  <row r="45" spans="1:27" x14ac:dyDescent="0.25">
      <c r="A45" s="22"/>
      <c r="B45" s="2" t="s">
        <v>4</v>
      </c>
      <c r="C45" s="9">
        <v>8</v>
      </c>
      <c r="D45" s="9">
        <v>8</v>
      </c>
      <c r="E45" s="9">
        <v>7</v>
      </c>
      <c r="F45" s="9">
        <v>7</v>
      </c>
      <c r="G45" s="7">
        <v>6</v>
      </c>
      <c r="H45" s="9">
        <v>6</v>
      </c>
      <c r="I45" s="7">
        <v>5</v>
      </c>
      <c r="J45" s="7">
        <v>4</v>
      </c>
      <c r="K45" s="7">
        <v>3</v>
      </c>
      <c r="L45" s="7">
        <v>2</v>
      </c>
      <c r="M45" s="7">
        <v>3</v>
      </c>
      <c r="N45" s="7">
        <v>2</v>
      </c>
      <c r="O45" s="7">
        <v>1</v>
      </c>
      <c r="P45" s="7">
        <v>3</v>
      </c>
      <c r="Q45" s="7">
        <v>3</v>
      </c>
      <c r="R45" s="7">
        <v>3</v>
      </c>
      <c r="S45" s="7">
        <v>3</v>
      </c>
      <c r="T45" s="7">
        <v>7</v>
      </c>
      <c r="U45" s="7">
        <v>5</v>
      </c>
      <c r="V45" s="7">
        <v>3</v>
      </c>
    </row>
    <row r="46" spans="1:27" x14ac:dyDescent="0.25">
      <c r="A46" s="22"/>
      <c r="B46" s="2" t="s">
        <v>5</v>
      </c>
      <c r="C46" s="9">
        <v>0</v>
      </c>
      <c r="D46" s="9">
        <v>0</v>
      </c>
      <c r="E46" s="9">
        <v>1</v>
      </c>
      <c r="F46" s="9">
        <v>1</v>
      </c>
      <c r="G46" s="7">
        <v>2</v>
      </c>
      <c r="H46" s="9">
        <v>2</v>
      </c>
      <c r="I46" s="7">
        <v>3</v>
      </c>
      <c r="J46" s="7">
        <v>4</v>
      </c>
      <c r="K46" s="7">
        <v>5</v>
      </c>
      <c r="L46" s="7">
        <v>6</v>
      </c>
      <c r="M46" s="7">
        <v>6</v>
      </c>
      <c r="N46" s="7">
        <v>7</v>
      </c>
      <c r="O46" s="7">
        <v>8</v>
      </c>
      <c r="P46" s="7">
        <v>8</v>
      </c>
      <c r="Q46" s="7">
        <v>9</v>
      </c>
      <c r="R46" s="7">
        <v>10</v>
      </c>
      <c r="S46" s="7">
        <v>11</v>
      </c>
      <c r="T46" s="7">
        <v>11</v>
      </c>
      <c r="U46" s="7">
        <v>14</v>
      </c>
      <c r="V46" s="7">
        <v>17</v>
      </c>
    </row>
    <row r="47" spans="1:27" x14ac:dyDescent="0.25">
      <c r="A47" s="22"/>
      <c r="B47" s="2" t="s">
        <v>6</v>
      </c>
      <c r="C47" s="9">
        <v>20</v>
      </c>
      <c r="D47" s="9">
        <f>C47+20</f>
        <v>40</v>
      </c>
      <c r="E47" s="9">
        <f t="shared" ref="E47:V47" si="3">D47+20</f>
        <v>60</v>
      </c>
      <c r="F47" s="9">
        <f t="shared" si="3"/>
        <v>80</v>
      </c>
      <c r="G47" s="7">
        <f t="shared" si="3"/>
        <v>100</v>
      </c>
      <c r="H47" s="9">
        <f t="shared" si="3"/>
        <v>120</v>
      </c>
      <c r="I47" s="7">
        <f t="shared" si="3"/>
        <v>140</v>
      </c>
      <c r="J47" s="7">
        <f t="shared" si="3"/>
        <v>160</v>
      </c>
      <c r="K47" s="7">
        <f t="shared" si="3"/>
        <v>180</v>
      </c>
      <c r="L47" s="7">
        <f t="shared" si="3"/>
        <v>200</v>
      </c>
      <c r="M47" s="7">
        <f t="shared" si="3"/>
        <v>220</v>
      </c>
      <c r="N47" s="7">
        <f t="shared" si="3"/>
        <v>240</v>
      </c>
      <c r="O47" s="7">
        <f t="shared" si="3"/>
        <v>260</v>
      </c>
      <c r="P47" s="7">
        <f t="shared" si="3"/>
        <v>280</v>
      </c>
      <c r="Q47" s="7">
        <f t="shared" si="3"/>
        <v>300</v>
      </c>
      <c r="R47" s="7">
        <f t="shared" si="3"/>
        <v>320</v>
      </c>
      <c r="S47" s="7">
        <f t="shared" si="3"/>
        <v>340</v>
      </c>
      <c r="T47" s="7">
        <f t="shared" si="3"/>
        <v>360</v>
      </c>
      <c r="U47" s="7">
        <f t="shared" si="3"/>
        <v>380</v>
      </c>
      <c r="V47" s="7">
        <f t="shared" si="3"/>
        <v>400</v>
      </c>
    </row>
    <row r="48" spans="1:27" x14ac:dyDescent="0.25">
      <c r="A48" s="22"/>
      <c r="B48" s="1" t="s">
        <v>7</v>
      </c>
      <c r="C48" s="9">
        <v>23</v>
      </c>
      <c r="D48" s="9">
        <v>40</v>
      </c>
      <c r="E48" s="9">
        <v>70</v>
      </c>
      <c r="F48" s="9">
        <v>80</v>
      </c>
      <c r="G48" s="7">
        <v>105</v>
      </c>
      <c r="H48" s="9">
        <v>120</v>
      </c>
      <c r="I48" s="7">
        <v>148</v>
      </c>
      <c r="J48" s="7">
        <v>160</v>
      </c>
      <c r="K48" s="7">
        <v>182</v>
      </c>
      <c r="L48" s="7">
        <v>202</v>
      </c>
      <c r="M48" s="7">
        <v>221</v>
      </c>
      <c r="N48" s="7">
        <v>245</v>
      </c>
      <c r="O48" s="7">
        <v>263</v>
      </c>
      <c r="P48" s="7">
        <v>283</v>
      </c>
      <c r="Q48" s="7">
        <v>300</v>
      </c>
      <c r="R48" s="7">
        <v>320</v>
      </c>
      <c r="S48" s="7">
        <v>341</v>
      </c>
      <c r="T48" s="7">
        <v>360</v>
      </c>
      <c r="U48" s="7">
        <v>380</v>
      </c>
      <c r="V48" s="7">
        <v>400</v>
      </c>
    </row>
    <row r="49" spans="1:27" x14ac:dyDescent="0.25">
      <c r="A49" s="22"/>
      <c r="B49" s="1" t="s">
        <v>8</v>
      </c>
      <c r="C49" s="9">
        <v>2.4470999999999998</v>
      </c>
      <c r="D49" s="9">
        <v>2.4470999999999998</v>
      </c>
      <c r="E49" s="9">
        <v>2.8971</v>
      </c>
      <c r="F49" s="9">
        <v>2.8971</v>
      </c>
      <c r="G49" s="7">
        <v>3.3471000000000002</v>
      </c>
      <c r="H49" s="9">
        <v>3.3471000000000002</v>
      </c>
      <c r="I49" s="7">
        <v>3.7970999999999999</v>
      </c>
      <c r="J49" s="7">
        <v>4.2470999999999997</v>
      </c>
      <c r="K49" s="7">
        <v>4.6970999999999998</v>
      </c>
      <c r="L49" s="7">
        <v>5.1471</v>
      </c>
      <c r="M49" s="7">
        <v>5.4530000000000003</v>
      </c>
      <c r="N49" s="7">
        <v>5.9029999999999996</v>
      </c>
      <c r="O49" s="7">
        <v>6.3529999999999998</v>
      </c>
      <c r="P49" s="7">
        <v>6.9648000000000003</v>
      </c>
      <c r="Q49" s="7">
        <v>7.7206000000000001</v>
      </c>
      <c r="R49" s="7">
        <v>8.4764999999999997</v>
      </c>
      <c r="S49" s="7">
        <v>9.2324000000000002</v>
      </c>
      <c r="T49" s="7">
        <v>10.456</v>
      </c>
      <c r="U49" s="7">
        <v>12.1119</v>
      </c>
      <c r="V49" s="7">
        <v>13.767799999999999</v>
      </c>
    </row>
    <row r="50" spans="1:27" x14ac:dyDescent="0.25">
      <c r="A50" s="22"/>
      <c r="B50" s="1" t="s">
        <v>9</v>
      </c>
      <c r="C50" s="10">
        <v>0</v>
      </c>
      <c r="D50" s="10">
        <v>0</v>
      </c>
      <c r="E50" s="10">
        <v>0</v>
      </c>
      <c r="F50" s="10">
        <v>0</v>
      </c>
      <c r="G50" s="8">
        <v>11.99</v>
      </c>
      <c r="H50" s="10">
        <v>0.02</v>
      </c>
      <c r="I50" s="8">
        <v>10.86</v>
      </c>
      <c r="J50" s="8">
        <v>10.59</v>
      </c>
      <c r="K50" s="8">
        <v>19.16</v>
      </c>
      <c r="L50" s="8">
        <v>17.48</v>
      </c>
      <c r="M50" s="7">
        <v>20.95</v>
      </c>
      <c r="N50" s="7">
        <v>20.420000000000002</v>
      </c>
      <c r="O50" s="7">
        <v>23.13</v>
      </c>
      <c r="P50" s="7">
        <v>24.91</v>
      </c>
      <c r="Q50" s="7">
        <v>25.32</v>
      </c>
      <c r="R50" s="7">
        <v>26.5</v>
      </c>
      <c r="S50" s="7">
        <v>26.35</v>
      </c>
      <c r="T50" s="7">
        <v>28.36</v>
      </c>
      <c r="U50" s="7">
        <v>31.02</v>
      </c>
      <c r="V50" s="7">
        <v>22.44</v>
      </c>
    </row>
    <row r="51" spans="1:27" x14ac:dyDescent="0.25">
      <c r="A51" s="22"/>
      <c r="B51" s="1" t="s">
        <v>13</v>
      </c>
      <c r="C51" s="29">
        <v>334960</v>
      </c>
      <c r="D51" s="29"/>
      <c r="E51" s="29"/>
      <c r="F51" s="29"/>
      <c r="G51" s="30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1:27" x14ac:dyDescent="0.25">
      <c r="A52" s="22"/>
      <c r="B52" s="1" t="s">
        <v>10</v>
      </c>
      <c r="C52" s="29">
        <v>643765</v>
      </c>
      <c r="D52" s="29"/>
      <c r="E52" s="29"/>
      <c r="F52" s="29"/>
      <c r="G52" s="30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1:27" x14ac:dyDescent="0.25">
      <c r="A53" s="22"/>
      <c r="B53" s="1" t="s">
        <v>11</v>
      </c>
      <c r="C53" s="29">
        <v>0</v>
      </c>
      <c r="D53" s="29"/>
      <c r="E53" s="29"/>
      <c r="F53" s="29"/>
      <c r="G53" s="30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7" x14ac:dyDescent="0.25">
      <c r="A54" s="22"/>
      <c r="B54" s="1" t="s">
        <v>12</v>
      </c>
      <c r="C54" s="29">
        <v>335122</v>
      </c>
      <c r="D54" s="29"/>
      <c r="E54" s="29"/>
      <c r="F54" s="29"/>
      <c r="G54" s="30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1:27" x14ac:dyDescent="0.25">
      <c r="A55" s="22"/>
      <c r="B55" s="1" t="s">
        <v>14</v>
      </c>
      <c r="C55" s="29">
        <v>335122</v>
      </c>
      <c r="D55" s="29"/>
      <c r="E55" s="29"/>
      <c r="F55" s="29"/>
      <c r="G55" s="30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X55" s="1" t="s">
        <v>17</v>
      </c>
      <c r="Y55" s="1" t="s">
        <v>18</v>
      </c>
      <c r="Z55" s="1" t="s">
        <v>19</v>
      </c>
      <c r="AA55" s="1" t="s">
        <v>1</v>
      </c>
    </row>
    <row r="56" spans="1:27" x14ac:dyDescent="0.25">
      <c r="A56" s="22"/>
      <c r="B56" s="1" t="s">
        <v>15</v>
      </c>
      <c r="C56" s="9">
        <v>26.1</v>
      </c>
      <c r="D56" s="9">
        <v>74.77</v>
      </c>
      <c r="E56" s="9">
        <v>1136.76</v>
      </c>
      <c r="F56" s="9">
        <v>498.38</v>
      </c>
      <c r="G56" s="7">
        <v>43200</v>
      </c>
      <c r="H56" s="9">
        <v>25020</v>
      </c>
      <c r="I56" s="7">
        <v>43200</v>
      </c>
      <c r="J56" s="7">
        <v>43200</v>
      </c>
      <c r="K56" s="7">
        <v>43200</v>
      </c>
      <c r="L56" s="7">
        <v>43200</v>
      </c>
      <c r="M56" s="7">
        <v>43200</v>
      </c>
      <c r="N56" s="7">
        <v>43200</v>
      </c>
      <c r="O56" s="7">
        <v>43200</v>
      </c>
      <c r="P56" s="7">
        <v>43200</v>
      </c>
      <c r="Q56" s="7">
        <v>43200</v>
      </c>
      <c r="R56" s="7">
        <v>43200</v>
      </c>
      <c r="S56" s="7">
        <v>43200</v>
      </c>
      <c r="T56" s="7">
        <v>43200</v>
      </c>
      <c r="U56" s="7">
        <v>43200</v>
      </c>
      <c r="V56" s="7">
        <v>43200</v>
      </c>
      <c r="X56" s="1">
        <f>SUM(C56:V56)</f>
        <v>674756.01</v>
      </c>
      <c r="Y56" s="1">
        <f>ROUND(X56/60,2)</f>
        <v>11245.93</v>
      </c>
      <c r="Z56" s="1">
        <f>ROUND(Y56/60,2)</f>
        <v>187.43</v>
      </c>
      <c r="AA56" s="1">
        <f>ROUND(Z56/24,2)</f>
        <v>7.81</v>
      </c>
    </row>
    <row r="57" spans="1:27" x14ac:dyDescent="0.25">
      <c r="A57" s="22"/>
      <c r="B57" s="1" t="s">
        <v>16</v>
      </c>
      <c r="C57" s="9">
        <v>81.510000000000005</v>
      </c>
      <c r="D57" s="9">
        <v>120.27</v>
      </c>
      <c r="E57" s="9">
        <v>1180.58</v>
      </c>
      <c r="F57" s="9">
        <v>542.08000000000004</v>
      </c>
      <c r="G57" s="7">
        <v>43247</v>
      </c>
      <c r="H57" s="9">
        <v>25074</v>
      </c>
      <c r="I57" s="7">
        <v>43247</v>
      </c>
      <c r="J57" s="7">
        <v>43261</v>
      </c>
      <c r="K57" s="7">
        <v>43367</v>
      </c>
      <c r="L57" s="7">
        <v>43362</v>
      </c>
      <c r="M57" s="7">
        <v>43357</v>
      </c>
      <c r="N57" s="7">
        <v>43377</v>
      </c>
      <c r="O57" s="7">
        <v>43362</v>
      </c>
      <c r="P57" s="7">
        <v>43379</v>
      </c>
      <c r="Q57" s="7">
        <v>43379</v>
      </c>
      <c r="R57" s="7">
        <v>43347</v>
      </c>
      <c r="S57" s="7">
        <v>43383</v>
      </c>
      <c r="T57" s="7">
        <v>43254</v>
      </c>
      <c r="U57" s="7">
        <v>43366</v>
      </c>
      <c r="V57" s="7">
        <v>43360</v>
      </c>
      <c r="X57" s="1">
        <f>SUM(C57:V57)</f>
        <v>677046.44</v>
      </c>
      <c r="Y57" s="1">
        <f>ROUND(X57/60,2)</f>
        <v>11284.11</v>
      </c>
      <c r="Z57" s="1">
        <f>ROUND(Y57/60,2)</f>
        <v>188.07</v>
      </c>
      <c r="AA57" s="1">
        <f>ROUND(Z57/24,2)</f>
        <v>7.84</v>
      </c>
    </row>
    <row r="58" spans="1:27" x14ac:dyDescent="0.25">
      <c r="A58" s="22">
        <v>0.5</v>
      </c>
      <c r="B58" s="2" t="s">
        <v>3</v>
      </c>
      <c r="C58" s="18">
        <v>200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20"/>
    </row>
    <row r="59" spans="1:27" x14ac:dyDescent="0.25">
      <c r="A59" s="22"/>
      <c r="B59" s="2" t="s">
        <v>4</v>
      </c>
      <c r="C59" s="9">
        <v>10</v>
      </c>
      <c r="D59" s="9">
        <v>10</v>
      </c>
      <c r="E59" s="7">
        <v>9</v>
      </c>
      <c r="F59" s="7">
        <v>9</v>
      </c>
      <c r="G59" s="7">
        <v>10</v>
      </c>
      <c r="H59" s="7">
        <v>8</v>
      </c>
      <c r="I59" s="7">
        <v>7</v>
      </c>
      <c r="J59" s="7">
        <v>7</v>
      </c>
      <c r="K59" s="7">
        <v>6</v>
      </c>
      <c r="L59" s="7">
        <v>6</v>
      </c>
      <c r="M59" s="7">
        <v>5</v>
      </c>
      <c r="N59" s="7">
        <v>4</v>
      </c>
      <c r="O59" s="7">
        <v>1</v>
      </c>
      <c r="P59" s="7">
        <v>2</v>
      </c>
      <c r="Q59" s="7">
        <v>2</v>
      </c>
      <c r="R59" s="7">
        <v>1</v>
      </c>
      <c r="S59" s="7">
        <v>3</v>
      </c>
      <c r="T59" s="7">
        <v>1</v>
      </c>
      <c r="U59" s="7">
        <v>5</v>
      </c>
      <c r="V59" s="7">
        <v>5</v>
      </c>
    </row>
    <row r="60" spans="1:27" x14ac:dyDescent="0.25">
      <c r="A60" s="22"/>
      <c r="B60" s="2" t="s">
        <v>5</v>
      </c>
      <c r="C60" s="9">
        <v>0</v>
      </c>
      <c r="D60" s="9">
        <v>0</v>
      </c>
      <c r="E60" s="7">
        <v>1</v>
      </c>
      <c r="F60" s="7">
        <v>1</v>
      </c>
      <c r="G60" s="7">
        <v>1</v>
      </c>
      <c r="H60" s="7">
        <v>2</v>
      </c>
      <c r="I60" s="7">
        <v>3</v>
      </c>
      <c r="J60" s="7">
        <v>3</v>
      </c>
      <c r="K60" s="7">
        <v>4</v>
      </c>
      <c r="L60" s="7">
        <v>4</v>
      </c>
      <c r="M60" s="7">
        <v>5</v>
      </c>
      <c r="N60" s="7">
        <v>6</v>
      </c>
      <c r="O60" s="7">
        <v>5</v>
      </c>
      <c r="P60" s="7">
        <v>8</v>
      </c>
      <c r="Q60" s="7">
        <v>9</v>
      </c>
      <c r="R60" s="7">
        <v>10</v>
      </c>
      <c r="S60" s="7">
        <v>10</v>
      </c>
      <c r="T60" s="7">
        <v>12</v>
      </c>
      <c r="U60" s="7">
        <v>12</v>
      </c>
      <c r="V60" s="7">
        <v>13</v>
      </c>
    </row>
    <row r="61" spans="1:27" x14ac:dyDescent="0.25">
      <c r="A61" s="22"/>
      <c r="B61" s="2" t="s">
        <v>6</v>
      </c>
      <c r="C61" s="9">
        <v>19</v>
      </c>
      <c r="D61" s="9">
        <f>C61+19</f>
        <v>38</v>
      </c>
      <c r="E61" s="7">
        <f t="shared" ref="E61:V61" si="4">D61+19</f>
        <v>57</v>
      </c>
      <c r="F61" s="7">
        <f t="shared" si="4"/>
        <v>76</v>
      </c>
      <c r="G61" s="7">
        <f t="shared" si="4"/>
        <v>95</v>
      </c>
      <c r="H61" s="7">
        <f t="shared" si="4"/>
        <v>114</v>
      </c>
      <c r="I61" s="7">
        <f t="shared" si="4"/>
        <v>133</v>
      </c>
      <c r="J61" s="7">
        <f t="shared" si="4"/>
        <v>152</v>
      </c>
      <c r="K61" s="7">
        <f t="shared" si="4"/>
        <v>171</v>
      </c>
      <c r="L61" s="7">
        <f t="shared" si="4"/>
        <v>190</v>
      </c>
      <c r="M61" s="7">
        <f t="shared" si="4"/>
        <v>209</v>
      </c>
      <c r="N61" s="7">
        <f t="shared" si="4"/>
        <v>228</v>
      </c>
      <c r="O61" s="7">
        <f t="shared" si="4"/>
        <v>247</v>
      </c>
      <c r="P61" s="7">
        <f t="shared" si="4"/>
        <v>266</v>
      </c>
      <c r="Q61" s="7">
        <f t="shared" si="4"/>
        <v>285</v>
      </c>
      <c r="R61" s="7">
        <f t="shared" si="4"/>
        <v>304</v>
      </c>
      <c r="S61" s="7">
        <f t="shared" si="4"/>
        <v>323</v>
      </c>
      <c r="T61" s="7">
        <f t="shared" si="4"/>
        <v>342</v>
      </c>
      <c r="U61" s="7">
        <f t="shared" si="4"/>
        <v>361</v>
      </c>
      <c r="V61" s="7">
        <f t="shared" si="4"/>
        <v>380</v>
      </c>
    </row>
    <row r="62" spans="1:27" x14ac:dyDescent="0.25">
      <c r="A62" s="22"/>
      <c r="B62" s="1" t="s">
        <v>7</v>
      </c>
      <c r="C62" s="9">
        <v>40</v>
      </c>
      <c r="D62" s="9">
        <v>40</v>
      </c>
      <c r="E62" s="7">
        <v>66</v>
      </c>
      <c r="F62" s="7">
        <v>80</v>
      </c>
      <c r="G62" s="7">
        <v>95</v>
      </c>
      <c r="H62" s="7">
        <v>114</v>
      </c>
      <c r="I62" s="7">
        <v>135</v>
      </c>
      <c r="J62" s="7">
        <v>153</v>
      </c>
      <c r="K62" s="7">
        <v>179</v>
      </c>
      <c r="L62" s="7">
        <v>192</v>
      </c>
      <c r="M62" s="7">
        <v>213</v>
      </c>
      <c r="N62" s="7">
        <v>228</v>
      </c>
      <c r="O62" s="7">
        <v>247</v>
      </c>
      <c r="P62" s="7">
        <v>269</v>
      </c>
      <c r="Q62" s="7">
        <v>290</v>
      </c>
      <c r="R62" s="7">
        <v>306</v>
      </c>
      <c r="S62" s="7">
        <v>323</v>
      </c>
      <c r="T62" s="7">
        <v>342</v>
      </c>
      <c r="U62" s="7">
        <v>362</v>
      </c>
      <c r="V62" s="7">
        <v>380</v>
      </c>
    </row>
    <row r="63" spans="1:27" x14ac:dyDescent="0.25">
      <c r="A63" s="22"/>
      <c r="B63" s="1" t="s">
        <v>8</v>
      </c>
      <c r="C63" s="9">
        <v>3.0589</v>
      </c>
      <c r="D63" s="9">
        <v>3.0589</v>
      </c>
      <c r="E63" s="7">
        <v>3.5089000000000001</v>
      </c>
      <c r="F63" s="7">
        <v>3.5089000000000001</v>
      </c>
      <c r="G63" s="7">
        <v>3.8148</v>
      </c>
      <c r="H63" s="7">
        <v>3.9588999999999999</v>
      </c>
      <c r="I63" s="7">
        <v>4.4089</v>
      </c>
      <c r="J63" s="7">
        <v>4.4089</v>
      </c>
      <c r="K63" s="7">
        <v>4.8589000000000002</v>
      </c>
      <c r="L63" s="7">
        <v>4.8589000000000002</v>
      </c>
      <c r="M63" s="7">
        <v>5.3089000000000004</v>
      </c>
      <c r="N63" s="7">
        <v>5.7588999999999997</v>
      </c>
      <c r="O63" s="7">
        <v>6.6589</v>
      </c>
      <c r="P63" s="7">
        <v>6.6589</v>
      </c>
      <c r="Q63" s="7">
        <v>7.4147999999999996</v>
      </c>
      <c r="R63" s="7">
        <v>7.8647999999999998</v>
      </c>
      <c r="S63" s="7">
        <v>8.4764999999999997</v>
      </c>
      <c r="T63" s="7">
        <v>9.3765000000000001</v>
      </c>
      <c r="U63" s="7">
        <v>10.600099999999999</v>
      </c>
      <c r="V63" s="7">
        <v>11.356</v>
      </c>
    </row>
    <row r="64" spans="1:27" x14ac:dyDescent="0.25">
      <c r="A64" s="22"/>
      <c r="B64" s="1" t="s">
        <v>9</v>
      </c>
      <c r="C64" s="10">
        <v>0</v>
      </c>
      <c r="D64" s="10">
        <v>0</v>
      </c>
      <c r="E64" s="8">
        <v>12.82</v>
      </c>
      <c r="F64" s="8">
        <v>4.0999999999999996</v>
      </c>
      <c r="G64" s="8">
        <v>9.9700000000000006</v>
      </c>
      <c r="H64" s="8">
        <v>11.36</v>
      </c>
      <c r="I64" s="8">
        <v>13.47</v>
      </c>
      <c r="J64" s="8">
        <v>10.199999999999999</v>
      </c>
      <c r="K64" s="8">
        <v>12.22</v>
      </c>
      <c r="L64" s="8">
        <v>9.26</v>
      </c>
      <c r="M64" s="7">
        <v>15.16</v>
      </c>
      <c r="N64" s="7">
        <v>15.62</v>
      </c>
      <c r="O64" s="7">
        <v>25.9</v>
      </c>
      <c r="P64" s="7">
        <v>20.27</v>
      </c>
      <c r="Q64" s="7">
        <v>25.69</v>
      </c>
      <c r="R64" s="7">
        <v>26.56</v>
      </c>
      <c r="S64" s="7">
        <v>26.75</v>
      </c>
      <c r="T64" s="7">
        <v>29.64</v>
      </c>
      <c r="U64" s="7">
        <v>30.93</v>
      </c>
      <c r="V64" s="7">
        <v>26.59</v>
      </c>
    </row>
    <row r="65" spans="1:27" x14ac:dyDescent="0.25">
      <c r="A65" s="22"/>
      <c r="B65" s="1" t="s">
        <v>13</v>
      </c>
      <c r="C65" s="29">
        <v>482400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7" x14ac:dyDescent="0.25">
      <c r="A66" s="22"/>
      <c r="B66" s="1" t="s">
        <v>10</v>
      </c>
      <c r="C66" s="29">
        <v>964205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7" x14ac:dyDescent="0.25">
      <c r="A67" s="22"/>
      <c r="B67" s="1" t="s">
        <v>11</v>
      </c>
      <c r="C67" s="29">
        <v>0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1:27" x14ac:dyDescent="0.25">
      <c r="A68" s="22"/>
      <c r="B68" s="1" t="s">
        <v>12</v>
      </c>
      <c r="C68" s="29">
        <v>482602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7" x14ac:dyDescent="0.25">
      <c r="A69" s="22"/>
      <c r="B69" s="1" t="s">
        <v>14</v>
      </c>
      <c r="C69" s="29">
        <v>482602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X69" s="1" t="s">
        <v>17</v>
      </c>
      <c r="Y69" s="1" t="s">
        <v>18</v>
      </c>
      <c r="Z69" s="1" t="s">
        <v>19</v>
      </c>
      <c r="AA69" s="1" t="s">
        <v>1</v>
      </c>
    </row>
    <row r="70" spans="1:27" x14ac:dyDescent="0.25">
      <c r="A70" s="22"/>
      <c r="B70" s="1" t="s">
        <v>15</v>
      </c>
      <c r="C70" s="9">
        <v>58.59</v>
      </c>
      <c r="D70" s="9">
        <v>174.95</v>
      </c>
      <c r="E70" s="9">
        <v>43200</v>
      </c>
      <c r="F70" s="9">
        <v>43200</v>
      </c>
      <c r="G70" s="9">
        <v>43200</v>
      </c>
      <c r="H70" s="9">
        <v>43200</v>
      </c>
      <c r="I70" s="9">
        <v>43200</v>
      </c>
      <c r="J70" s="9">
        <v>43200</v>
      </c>
      <c r="K70" s="9">
        <v>43200</v>
      </c>
      <c r="L70" s="9">
        <v>43200</v>
      </c>
      <c r="M70" s="9">
        <v>43200</v>
      </c>
      <c r="N70" s="9">
        <v>43200</v>
      </c>
      <c r="O70" s="9">
        <v>43200</v>
      </c>
      <c r="P70" s="9">
        <v>43200</v>
      </c>
      <c r="Q70" s="9">
        <v>43200</v>
      </c>
      <c r="R70" s="9">
        <v>43200</v>
      </c>
      <c r="S70" s="9">
        <v>43200</v>
      </c>
      <c r="T70" s="9">
        <v>43200</v>
      </c>
      <c r="U70" s="9">
        <v>43200</v>
      </c>
      <c r="V70" s="9">
        <v>43200</v>
      </c>
      <c r="X70" s="1">
        <f>SUM(C70:V70)</f>
        <v>777833.54</v>
      </c>
      <c r="Y70" s="1">
        <f>ROUND(X70/60,2)</f>
        <v>12963.89</v>
      </c>
      <c r="Z70" s="1">
        <f>ROUND(Y70/60,2)</f>
        <v>216.06</v>
      </c>
      <c r="AA70" s="1">
        <f>ROUND(Z70/24,2)</f>
        <v>9</v>
      </c>
    </row>
    <row r="71" spans="1:27" x14ac:dyDescent="0.25">
      <c r="A71" s="22"/>
      <c r="B71" s="1" t="s">
        <v>16</v>
      </c>
      <c r="C71" s="12">
        <v>328.06</v>
      </c>
      <c r="D71" s="12">
        <v>429.82</v>
      </c>
      <c r="E71" s="12">
        <v>43494</v>
      </c>
      <c r="F71" s="12">
        <v>43476</v>
      </c>
      <c r="G71" s="12">
        <v>43446</v>
      </c>
      <c r="H71" s="12">
        <v>43447</v>
      </c>
      <c r="I71" s="12">
        <v>43434</v>
      </c>
      <c r="J71" s="12">
        <v>43289</v>
      </c>
      <c r="K71" s="12">
        <v>43489</v>
      </c>
      <c r="L71" s="12">
        <v>43452</v>
      </c>
      <c r="M71" s="12">
        <v>43455</v>
      </c>
      <c r="N71" s="12">
        <v>43428</v>
      </c>
      <c r="O71" s="12">
        <v>43410</v>
      </c>
      <c r="P71" s="12">
        <v>43418</v>
      </c>
      <c r="Q71" s="12">
        <v>43413</v>
      </c>
      <c r="R71" s="12">
        <v>43415</v>
      </c>
      <c r="S71" s="12">
        <v>43413</v>
      </c>
      <c r="T71" s="12">
        <v>43415</v>
      </c>
      <c r="U71" s="12">
        <v>43410</v>
      </c>
      <c r="V71" s="12">
        <v>43413</v>
      </c>
      <c r="X71" s="1">
        <f>SUM(C71:V71)</f>
        <v>782474.88</v>
      </c>
      <c r="Y71" s="1">
        <f>ROUND(X71/60,2)</f>
        <v>13041.25</v>
      </c>
      <c r="Z71" s="1">
        <f>ROUND(Y71/60,2)</f>
        <v>217.35</v>
      </c>
      <c r="AA71" s="1">
        <f>ROUND(Z71/24,2)</f>
        <v>9.06</v>
      </c>
    </row>
    <row r="80" spans="1:27" x14ac:dyDescent="0.25">
      <c r="X80" s="21" t="s">
        <v>20</v>
      </c>
      <c r="Y80" s="21"/>
      <c r="Z80" s="21"/>
      <c r="AA80" s="21"/>
    </row>
    <row r="81" spans="2:27" x14ac:dyDescent="0.25">
      <c r="X81" s="1" t="s">
        <v>21</v>
      </c>
      <c r="Y81" s="1" t="s">
        <v>22</v>
      </c>
      <c r="Z81" s="1" t="s">
        <v>23</v>
      </c>
      <c r="AA81" s="1" t="s">
        <v>24</v>
      </c>
    </row>
    <row r="82" spans="2:27" x14ac:dyDescent="0.25">
      <c r="X82" s="1">
        <f>SUM(X71,X57,X43,X29,X15)</f>
        <v>2524410.83</v>
      </c>
      <c r="Y82" s="1">
        <f>ROUND(X82/60,2)</f>
        <v>42073.51</v>
      </c>
      <c r="Z82" s="1">
        <f>ROUND(Y82/60,2)</f>
        <v>701.23</v>
      </c>
      <c r="AA82" s="1">
        <f>Z82/24</f>
        <v>29.217916666666667</v>
      </c>
    </row>
    <row r="84" spans="2:27" x14ac:dyDescent="0.25">
      <c r="B84" s="6"/>
    </row>
    <row r="85" spans="2:27" x14ac:dyDescent="0.25">
      <c r="B85" s="6"/>
    </row>
    <row r="86" spans="2:27" x14ac:dyDescent="0.25">
      <c r="B86" s="6"/>
      <c r="C86" s="6"/>
      <c r="D86" s="6"/>
      <c r="E86" s="6"/>
      <c r="F86" s="6"/>
    </row>
    <row r="87" spans="2:27" x14ac:dyDescent="0.25">
      <c r="B87" s="13"/>
      <c r="C87" s="13"/>
      <c r="D87" s="13"/>
      <c r="E87" s="13"/>
      <c r="F87" s="13"/>
    </row>
    <row r="88" spans="2:27" x14ac:dyDescent="0.25">
      <c r="B88" s="13"/>
      <c r="C88" s="13"/>
      <c r="D88" s="13"/>
      <c r="E88" s="13"/>
      <c r="F88" s="13"/>
    </row>
    <row r="90" spans="2:27" x14ac:dyDescent="0.25">
      <c r="B90" s="6"/>
    </row>
    <row r="91" spans="2:27" x14ac:dyDescent="0.25">
      <c r="B91" s="6"/>
    </row>
    <row r="92" spans="2:27" x14ac:dyDescent="0.25">
      <c r="B92" s="6"/>
    </row>
    <row r="102" spans="1:21" x14ac:dyDescent="0.25">
      <c r="A102" s="6"/>
      <c r="B102" s="13"/>
      <c r="C102" s="13"/>
      <c r="D102" s="13"/>
      <c r="E102" s="13"/>
      <c r="F102" s="13"/>
      <c r="G102" s="13"/>
      <c r="H102" s="14"/>
      <c r="I102" s="13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x14ac:dyDescent="0.25">
      <c r="A103" s="6"/>
      <c r="B103" s="13"/>
      <c r="C103" s="13"/>
      <c r="D103" s="13"/>
      <c r="E103" s="13"/>
      <c r="F103" s="13"/>
      <c r="G103" s="13"/>
      <c r="H103" s="14"/>
      <c r="I103" s="13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x14ac:dyDescent="0.25">
      <c r="A104" s="6"/>
      <c r="B104" s="13"/>
      <c r="C104" s="13"/>
      <c r="D104" s="13"/>
      <c r="E104" s="13"/>
      <c r="F104" s="13"/>
      <c r="G104" s="13"/>
      <c r="H104" s="14"/>
      <c r="I104" s="13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</sheetData>
  <mergeCells count="37">
    <mergeCell ref="A2:A15"/>
    <mergeCell ref="C2:V2"/>
    <mergeCell ref="A30:A43"/>
    <mergeCell ref="C37:V37"/>
    <mergeCell ref="C38:V38"/>
    <mergeCell ref="C39:V39"/>
    <mergeCell ref="A16:A29"/>
    <mergeCell ref="C16:V16"/>
    <mergeCell ref="C23:V23"/>
    <mergeCell ref="C24:V24"/>
    <mergeCell ref="C27:V27"/>
    <mergeCell ref="C9:V9"/>
    <mergeCell ref="C10:V10"/>
    <mergeCell ref="C11:V11"/>
    <mergeCell ref="C12:V12"/>
    <mergeCell ref="C13:V13"/>
    <mergeCell ref="A58:A71"/>
    <mergeCell ref="C65:V65"/>
    <mergeCell ref="C66:V66"/>
    <mergeCell ref="C67:V67"/>
    <mergeCell ref="A44:A57"/>
    <mergeCell ref="C55:V55"/>
    <mergeCell ref="X80:AA80"/>
    <mergeCell ref="C68:V68"/>
    <mergeCell ref="C69:V69"/>
    <mergeCell ref="B1:V1"/>
    <mergeCell ref="C58:V58"/>
    <mergeCell ref="C44:V44"/>
    <mergeCell ref="C30:V30"/>
    <mergeCell ref="C40:V40"/>
    <mergeCell ref="C41:V41"/>
    <mergeCell ref="C51:V51"/>
    <mergeCell ref="C52:V52"/>
    <mergeCell ref="C53:V53"/>
    <mergeCell ref="C54:V54"/>
    <mergeCell ref="C25:V25"/>
    <mergeCell ref="C26:V26"/>
  </mergeCells>
  <pageMargins left="0.51181102362204722" right="0.51181102362204722" top="0.78740157480314965" bottom="0.78740157480314965" header="0.31496062992125984" footer="0.31496062992125984"/>
  <pageSetup paperSize="9" scale="3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5C4F-DF6F-48EC-95CF-724FBBB445DB}">
  <dimension ref="A1:D3"/>
  <sheetViews>
    <sheetView workbookViewId="0">
      <selection activeCell="D3" sqref="D3"/>
    </sheetView>
  </sheetViews>
  <sheetFormatPr defaultRowHeight="15" x14ac:dyDescent="0.25"/>
  <sheetData>
    <row r="1" spans="1:4" x14ac:dyDescent="0.25">
      <c r="A1" s="23" t="s">
        <v>25</v>
      </c>
      <c r="B1" s="24"/>
      <c r="C1" s="24"/>
      <c r="D1" s="25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">
        <f>SUM('L=20'!X82,'L=15'!S82,'L=10'!N82)</f>
        <v>2843180.9606999997</v>
      </c>
      <c r="B3" s="1">
        <f>A3/60</f>
        <v>47386.349344999995</v>
      </c>
      <c r="C3" s="1">
        <f>B3/60</f>
        <v>789.7724890833332</v>
      </c>
      <c r="D3" s="1">
        <f>C3/24</f>
        <v>32.907187045138883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L=10</vt:lpstr>
      <vt:lpstr>L=15</vt:lpstr>
      <vt:lpstr>L=20</vt:lpstr>
      <vt:lpstr>Overall Total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Pinheiro</dc:creator>
  <cp:keywords/>
  <dc:description/>
  <cp:lastModifiedBy>Lucas Pinheiro</cp:lastModifiedBy>
  <cp:revision/>
  <cp:lastPrinted>2024-10-09T20:43:58Z</cp:lastPrinted>
  <dcterms:created xsi:type="dcterms:W3CDTF">2022-06-12T21:40:48Z</dcterms:created>
  <dcterms:modified xsi:type="dcterms:W3CDTF">2025-11-20T19:28:30Z</dcterms:modified>
  <cp:category/>
  <cp:contentStatus/>
</cp:coreProperties>
</file>